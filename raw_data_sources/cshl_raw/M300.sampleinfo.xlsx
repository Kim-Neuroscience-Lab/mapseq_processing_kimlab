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hover/project/mapseq/M300_208045/"/>
    </mc:Choice>
  </mc:AlternateContent>
  <xr:revisionPtr revIDLastSave="0" documentId="13_ncr:1_{923ADEFA-15D8-B040-A0B2-E607EABC0632}" xr6:coauthVersionLast="47" xr6:coauthVersionMax="47" xr10:uidLastSave="{00000000-0000-0000-0000-000000000000}"/>
  <bookViews>
    <workbookView xWindow="2680" yWindow="1340" windowWidth="34540" windowHeight="20520" xr2:uid="{00000000-000D-0000-FFFF-FFFF00000000}"/>
  </bookViews>
  <sheets>
    <sheet name="Sample information" sheetId="14" r:id="rId1"/>
    <sheet name="PCR2 primers" sheetId="15" r:id="rId2"/>
    <sheet name="Input" sheetId="11" r:id="rId3"/>
    <sheet name="QC result" sheetId="12" r:id="rId4"/>
    <sheet name="processing information" sheetId="4" r:id="rId5"/>
    <sheet name="Bioanalyzer&amp;Q-PCR" sheetId="5" r:id="rId6"/>
    <sheet name="Summary_libquantification" sheetId="9" r:id="rId7"/>
    <sheet name="NGS submissio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5" l="1"/>
  <c r="E33" i="5" s="1"/>
  <c r="F37" i="5"/>
  <c r="J16" i="5" s="1"/>
  <c r="F36" i="5"/>
  <c r="E16" i="5" s="1"/>
  <c r="I36" i="4" l="1"/>
  <c r="C49" i="12"/>
  <c r="C48" i="12"/>
  <c r="C47" i="12"/>
  <c r="B49" i="12"/>
  <c r="B48" i="12"/>
  <c r="B47" i="12"/>
  <c r="E47" i="12"/>
  <c r="D47" i="12"/>
  <c r="F47" i="12" s="1"/>
  <c r="C46" i="12"/>
  <c r="B46" i="12"/>
  <c r="C45" i="12"/>
  <c r="B45" i="12"/>
  <c r="C44" i="12"/>
  <c r="E44" i="12" s="1"/>
  <c r="B44" i="12"/>
  <c r="D44" i="12" s="1"/>
  <c r="F44" i="12" s="1"/>
  <c r="C43" i="12"/>
  <c r="B43" i="12"/>
  <c r="C42" i="12"/>
  <c r="B42" i="12"/>
  <c r="C41" i="12"/>
  <c r="E41" i="12" s="1"/>
  <c r="B41" i="12"/>
  <c r="D41" i="12" s="1"/>
  <c r="F41" i="12" s="1"/>
  <c r="C40" i="12"/>
  <c r="B40" i="12"/>
  <c r="C39" i="12"/>
  <c r="B39" i="12"/>
  <c r="C38" i="12"/>
  <c r="E38" i="12" s="1"/>
  <c r="B38" i="12"/>
  <c r="D38" i="12" s="1"/>
  <c r="F38" i="12" s="1"/>
  <c r="C37" i="12"/>
  <c r="B37" i="12"/>
  <c r="C36" i="12"/>
  <c r="B36" i="12"/>
  <c r="C35" i="12"/>
  <c r="E35" i="12" s="1"/>
  <c r="B35" i="12"/>
  <c r="D35" i="12" s="1"/>
  <c r="F35" i="12" s="1"/>
  <c r="C34" i="12"/>
  <c r="B34" i="12"/>
  <c r="C33" i="12"/>
  <c r="B33" i="12"/>
  <c r="C32" i="12"/>
  <c r="E32" i="12" s="1"/>
  <c r="B32" i="12"/>
  <c r="D32" i="12" s="1"/>
  <c r="F32" i="12" s="1"/>
  <c r="C31" i="12"/>
  <c r="B31" i="12"/>
  <c r="C30" i="12"/>
  <c r="B30" i="12"/>
  <c r="C29" i="12"/>
  <c r="E29" i="12" s="1"/>
  <c r="B29" i="12"/>
  <c r="D29" i="12" s="1"/>
  <c r="F29" i="12" s="1"/>
  <c r="C28" i="12"/>
  <c r="B28" i="12"/>
  <c r="C27" i="12"/>
  <c r="B27" i="12"/>
  <c r="C26" i="12"/>
  <c r="E26" i="12" s="1"/>
  <c r="B26" i="12"/>
  <c r="D26" i="12" s="1"/>
  <c r="F26" i="12" s="1"/>
  <c r="C25" i="12"/>
  <c r="B25" i="12"/>
  <c r="C24" i="12"/>
  <c r="B24" i="12"/>
  <c r="C23" i="12"/>
  <c r="E23" i="12" s="1"/>
  <c r="B23" i="12"/>
  <c r="D23" i="12" s="1"/>
  <c r="F23" i="12" s="1"/>
  <c r="C22" i="12"/>
  <c r="B22" i="12"/>
  <c r="C21" i="12"/>
  <c r="B21" i="12"/>
  <c r="C20" i="12"/>
  <c r="E20" i="12" s="1"/>
  <c r="B20" i="12"/>
  <c r="D20" i="12" s="1"/>
  <c r="F20" i="12" s="1"/>
  <c r="C19" i="12"/>
  <c r="B19" i="12"/>
  <c r="C18" i="12"/>
  <c r="B18" i="12"/>
  <c r="C17" i="12"/>
  <c r="E17" i="12" s="1"/>
  <c r="B17" i="12"/>
  <c r="D17" i="12" s="1"/>
  <c r="F17" i="12" s="1"/>
  <c r="C16" i="12"/>
  <c r="B16" i="12"/>
  <c r="C15" i="12"/>
  <c r="B15" i="12"/>
  <c r="C14" i="12"/>
  <c r="E14" i="12" s="1"/>
  <c r="B14" i="12"/>
  <c r="D14" i="12" s="1"/>
  <c r="F14" i="12" s="1"/>
  <c r="C13" i="12"/>
  <c r="B13" i="12"/>
  <c r="C12" i="12"/>
  <c r="B12" i="12"/>
  <c r="C11" i="12"/>
  <c r="E11" i="12" s="1"/>
  <c r="B11" i="12"/>
  <c r="D11" i="12" s="1"/>
  <c r="F11" i="12" s="1"/>
  <c r="C10" i="12"/>
  <c r="B10" i="12"/>
  <c r="C9" i="12"/>
  <c r="B9" i="12"/>
  <c r="C8" i="12"/>
  <c r="E8" i="12" s="1"/>
  <c r="B8" i="12"/>
  <c r="D8" i="12" s="1"/>
  <c r="F8" i="12" s="1"/>
  <c r="C7" i="12"/>
  <c r="B7" i="12"/>
  <c r="C6" i="12"/>
  <c r="B6" i="12"/>
  <c r="C5" i="12"/>
  <c r="E5" i="12" s="1"/>
  <c r="B5" i="12"/>
  <c r="D5" i="12" s="1"/>
  <c r="F5" i="12" s="1"/>
  <c r="C4" i="12"/>
  <c r="B4" i="12"/>
  <c r="C3" i="12"/>
  <c r="B3" i="12"/>
  <c r="C2" i="12"/>
  <c r="E2" i="12" s="1"/>
  <c r="B2" i="12"/>
  <c r="D2" i="12" s="1"/>
  <c r="F2" i="12" s="1"/>
  <c r="J7" i="5" l="1"/>
  <c r="J11" i="5" s="1"/>
  <c r="E7" i="5"/>
  <c r="E11" i="5" s="1"/>
  <c r="H12" i="4" l="1"/>
  <c r="O10" i="9"/>
  <c r="O9" i="9"/>
  <c r="O8" i="9"/>
  <c r="O7" i="9"/>
  <c r="O6" i="9"/>
  <c r="O5" i="9"/>
  <c r="O15" i="9"/>
  <c r="G9" i="9"/>
  <c r="G10" i="9"/>
  <c r="E9" i="9"/>
  <c r="H9" i="9"/>
  <c r="I9" i="9"/>
  <c r="E10" i="9"/>
  <c r="H10" i="9"/>
  <c r="I10" i="9"/>
  <c r="E5" i="9"/>
  <c r="G5" i="9"/>
  <c r="H5" i="9"/>
  <c r="I5" i="9"/>
  <c r="E6" i="9"/>
  <c r="G6" i="9"/>
  <c r="H6" i="9"/>
  <c r="I6" i="9"/>
  <c r="E7" i="9"/>
  <c r="G7" i="9"/>
  <c r="H7" i="9"/>
  <c r="I7" i="9"/>
  <c r="E8" i="9"/>
  <c r="G8" i="9"/>
  <c r="H8" i="9"/>
  <c r="I8" i="9"/>
  <c r="L31" i="4"/>
  <c r="I31" i="4"/>
  <c r="J14" i="5"/>
  <c r="E13" i="5"/>
  <c r="E24" i="5"/>
  <c r="E28" i="5" s="1"/>
  <c r="E31" i="5"/>
  <c r="E30" i="5"/>
  <c r="E14" i="5"/>
  <c r="I12" i="9"/>
  <c r="I34" i="4" l="1"/>
  <c r="I38" i="4" s="1"/>
  <c r="I39" i="4" s="1"/>
  <c r="I43" i="4" s="1"/>
  <c r="J13" i="5"/>
</calcChain>
</file>

<file path=xl/sharedStrings.xml><?xml version="1.0" encoding="utf-8"?>
<sst xmlns="http://schemas.openxmlformats.org/spreadsheetml/2006/main" count="1998" uniqueCount="893">
  <si>
    <t>Mseq300</t>
  </si>
  <si>
    <t>Unique number for M300</t>
  </si>
  <si>
    <t>Tube # by user</t>
  </si>
  <si>
    <t>Our Tube #</t>
  </si>
  <si>
    <t>Site information</t>
  </si>
  <si>
    <t>QC qPCR</t>
  </si>
  <si>
    <t>To be sequenced by NovaSeq</t>
  </si>
  <si>
    <t xml:space="preserve">Brain </t>
  </si>
  <si>
    <t>Region</t>
  </si>
  <si>
    <t>Expected</t>
  </si>
  <si>
    <t>Original mseq #</t>
  </si>
  <si>
    <t>RT primers for MAPseq</t>
  </si>
  <si>
    <t>i7 (top strand) 10nt</t>
  </si>
  <si>
    <t>i5 (top strand) 10nt</t>
  </si>
  <si>
    <t>V1 injection site</t>
  </si>
  <si>
    <t>√</t>
  </si>
  <si>
    <t>yes</t>
  </si>
  <si>
    <t>M761</t>
  </si>
  <si>
    <t>M256</t>
  </si>
  <si>
    <t>ACCGCGGGAT</t>
  </si>
  <si>
    <t>ACGGCTTCAA</t>
  </si>
  <si>
    <t>RSP</t>
  </si>
  <si>
    <t>ATCACTGGAT</t>
  </si>
  <si>
    <t>ACATGCGCTC</t>
  </si>
  <si>
    <t>RM</t>
  </si>
  <si>
    <t>GGATTATCAT</t>
  </si>
  <si>
    <t>ACGCTACCGA</t>
  </si>
  <si>
    <t>AM</t>
  </si>
  <si>
    <t>ATATTAAGAT</t>
  </si>
  <si>
    <t>ACGATTCCCA</t>
  </si>
  <si>
    <t>A</t>
  </si>
  <si>
    <t>TATGTATTAT</t>
  </si>
  <si>
    <t>ACAGAAACCA</t>
  </si>
  <si>
    <t>RL</t>
  </si>
  <si>
    <t>CGCCATTTAT</t>
  </si>
  <si>
    <t>ACGTACATTA</t>
  </si>
  <si>
    <t>AL</t>
  </si>
  <si>
    <t>√√</t>
  </si>
  <si>
    <t>ATAAAAACAT</t>
  </si>
  <si>
    <t>ACCCCATAGT</t>
  </si>
  <si>
    <t>Plate 1</t>
  </si>
  <si>
    <t>LM/Li</t>
  </si>
  <si>
    <t>CTAAAACTAT</t>
  </si>
  <si>
    <t>ACCATGGTAC</t>
  </si>
  <si>
    <t>Cerebellum - Control</t>
  </si>
  <si>
    <t>CGCGCGATAT</t>
  </si>
  <si>
    <t>ACTAAGCCCC</t>
  </si>
  <si>
    <t>B</t>
  </si>
  <si>
    <t>V1 - injection site</t>
  </si>
  <si>
    <t>M760</t>
  </si>
  <si>
    <t>AAAGTGAAAT</t>
  </si>
  <si>
    <t>ACAAGTCAAT</t>
  </si>
  <si>
    <t>C</t>
  </si>
  <si>
    <t>TTTGCGAGAT</t>
  </si>
  <si>
    <t>ACCCGGCGCG</t>
  </si>
  <si>
    <t>D</t>
  </si>
  <si>
    <t>PM</t>
  </si>
  <si>
    <t>ACAGCCTCAT</t>
  </si>
  <si>
    <t>ACAGATGACA</t>
  </si>
  <si>
    <t>E</t>
  </si>
  <si>
    <t>AGGCGAGGAT</t>
  </si>
  <si>
    <t>ACGTTGCGGG</t>
  </si>
  <si>
    <t>F</t>
  </si>
  <si>
    <t>TTACGTTTAT</t>
  </si>
  <si>
    <t>ACTACGAGAT</t>
  </si>
  <si>
    <t>G</t>
  </si>
  <si>
    <t>CCCGTCTTAT</t>
  </si>
  <si>
    <t>ACTTACACAT</t>
  </si>
  <si>
    <t>H</t>
  </si>
  <si>
    <t>GTCCGAGCAT</t>
  </si>
  <si>
    <t>ACGTGCTCCA</t>
  </si>
  <si>
    <t>Cerebellum - negative control</t>
  </si>
  <si>
    <t>AGTATATAAT</t>
  </si>
  <si>
    <t>ACGTAGAGGC</t>
  </si>
  <si>
    <t>M759</t>
  </si>
  <si>
    <t>AGAGACGGAT</t>
  </si>
  <si>
    <t>ACGCAAATAA</t>
  </si>
  <si>
    <t>Plate 2</t>
  </si>
  <si>
    <t>CTGGTGTTAT</t>
  </si>
  <si>
    <t>ACTAGGTCAC</t>
  </si>
  <si>
    <t>CGGGGCCCAT</t>
  </si>
  <si>
    <t>ACTAGTTGGC</t>
  </si>
  <si>
    <t>GCTCTGTCAT</t>
  </si>
  <si>
    <t>ACCGATTGCT</t>
  </si>
  <si>
    <t>TCGTCGCTAT</t>
  </si>
  <si>
    <t>ACCAAACGTC</t>
  </si>
  <si>
    <t>ATTGGGACAT</t>
  </si>
  <si>
    <t>ACCCCTCCGT</t>
  </si>
  <si>
    <t>CATCAATCAT</t>
  </si>
  <si>
    <t>ACCACAAGGT</t>
  </si>
  <si>
    <t>JR0548</t>
  </si>
  <si>
    <t>M292</t>
  </si>
  <si>
    <t>ATAACGTGAT</t>
  </si>
  <si>
    <t>ACTTCTGTGT</t>
  </si>
  <si>
    <t>AACAGGTCAT</t>
  </si>
  <si>
    <t>ACTTTAGATT</t>
  </si>
  <si>
    <t>TTGGGTGCAT</t>
  </si>
  <si>
    <t>ACAGACCACG</t>
  </si>
  <si>
    <t>ATCGTTTCAT</t>
  </si>
  <si>
    <t>ACGAGTGGGG</t>
  </si>
  <si>
    <t>GAAAGGGAAT</t>
  </si>
  <si>
    <t>ACATTGATAT</t>
  </si>
  <si>
    <t>Plate 3</t>
  </si>
  <si>
    <t>GGCAAGATAT</t>
  </si>
  <si>
    <t>ACCTGTATTA</t>
  </si>
  <si>
    <t>GGTCCGATAT</t>
  </si>
  <si>
    <t>ACCTGGAGCC</t>
  </si>
  <si>
    <t>ACATGCCTAT</t>
  </si>
  <si>
    <t>ACATTCCGCA</t>
  </si>
  <si>
    <t>JR0552</t>
  </si>
  <si>
    <t>TTAATGTTAT</t>
  </si>
  <si>
    <t>ACTACTGGCA</t>
  </si>
  <si>
    <t>TTTCGCTGAT</t>
  </si>
  <si>
    <t>ACAATATATT</t>
  </si>
  <si>
    <t>ACGGTACTAT</t>
  </si>
  <si>
    <t>ACAGCAAAGG</t>
  </si>
  <si>
    <t>GGTAAGTAAT</t>
  </si>
  <si>
    <t>ACTGTTAGGA</t>
  </si>
  <si>
    <t>CGCGAGGAAT</t>
  </si>
  <si>
    <t>ACGGGACCCC</t>
  </si>
  <si>
    <t>CTCGCTTTAT</t>
  </si>
  <si>
    <t>ACTGACTAGT</t>
  </si>
  <si>
    <t>AATTAGGTAT</t>
  </si>
  <si>
    <t>ACTCAAAGCG</t>
  </si>
  <si>
    <t>GACATAGTAT</t>
  </si>
  <si>
    <t>ACCTAACCAC</t>
  </si>
  <si>
    <t>jr0672</t>
  </si>
  <si>
    <t>M299</t>
  </si>
  <si>
    <t>CTTCGGCAAT</t>
  </si>
  <si>
    <t>ACCCCAAGAC</t>
  </si>
  <si>
    <t>AGAACATCAT</t>
  </si>
  <si>
    <t>ACTTGATGCG</t>
  </si>
  <si>
    <t>ATCGAGAGAT</t>
  </si>
  <si>
    <t>ACGCCCCATA</t>
  </si>
  <si>
    <t>ATGAAAGGAT</t>
  </si>
  <si>
    <t>ACATCCCGTC</t>
  </si>
  <si>
    <t>GGTTGAAAAT</t>
  </si>
  <si>
    <t>ACCAGGCTAA</t>
  </si>
  <si>
    <t>LM</t>
  </si>
  <si>
    <t>CTGACGGCAT</t>
  </si>
  <si>
    <t>ACTACGCAAG</t>
  </si>
  <si>
    <t>GCCACAATAT</t>
  </si>
  <si>
    <t>ACTGTAATGC</t>
  </si>
  <si>
    <t>jr0674</t>
  </si>
  <si>
    <t>GTTGTTAAAT</t>
  </si>
  <si>
    <t>ACTTCCCAAA</t>
  </si>
  <si>
    <t>CGTCGGACAT</t>
  </si>
  <si>
    <t>ACAACCTCCC</t>
  </si>
  <si>
    <t>TCATGAACAT</t>
  </si>
  <si>
    <t>ACCCAGGTTC</t>
  </si>
  <si>
    <t>AACACAGAAT</t>
  </si>
  <si>
    <t>ACCATAGACG</t>
  </si>
  <si>
    <t>TGGCCAGAAT</t>
  </si>
  <si>
    <t>ACACACGGTT</t>
  </si>
  <si>
    <t>AATATTTCAT</t>
  </si>
  <si>
    <t>ACACACACCT</t>
  </si>
  <si>
    <t>GTTGGTGTAT</t>
  </si>
  <si>
    <t>ACGCGGTTTT</t>
  </si>
  <si>
    <t>jr0692</t>
  </si>
  <si>
    <t>AAGGCTGCAT</t>
  </si>
  <si>
    <t>ACTCCAGTCA</t>
  </si>
  <si>
    <t>ATAGGTGGAT</t>
  </si>
  <si>
    <t>ACCCTGAATC</t>
  </si>
  <si>
    <t>TCTGGATCAT</t>
  </si>
  <si>
    <t>ACAATTAATA</t>
  </si>
  <si>
    <t>CCCGTACAAT</t>
  </si>
  <si>
    <t>ACCGGATTGA</t>
  </si>
  <si>
    <t>CCCACGTCAT</t>
  </si>
  <si>
    <t>ACAGGTACCT</t>
  </si>
  <si>
    <t>ATCATGCTAT</t>
  </si>
  <si>
    <t>ACAGCTCGCA</t>
  </si>
  <si>
    <t>CGGGTGGCAT</t>
  </si>
  <si>
    <t>ACGGCGTGCC</t>
  </si>
  <si>
    <t>jr0695</t>
  </si>
  <si>
    <t>TACGAAGGAT</t>
  </si>
  <si>
    <t>ACTCTTACAA</t>
  </si>
  <si>
    <t>TAAAGCGTAT</t>
  </si>
  <si>
    <t>ACGCACCGCC</t>
  </si>
  <si>
    <t>TTTCCCCAAT</t>
  </si>
  <si>
    <t>ACGGAAGAAA</t>
  </si>
  <si>
    <t>GAGCAATAAT</t>
  </si>
  <si>
    <t>ACCTGACAAA</t>
  </si>
  <si>
    <t>GCGAAGTGAT</t>
  </si>
  <si>
    <t>ACATAAGGCT</t>
  </si>
  <si>
    <t>TCACCAGGAT</t>
  </si>
  <si>
    <t>ACTATGGCAA</t>
  </si>
  <si>
    <t>CACTGACAAT</t>
  </si>
  <si>
    <t>ACCCAGTCTA</t>
  </si>
  <si>
    <t>jr0678</t>
  </si>
  <si>
    <t>ACACGATAAT</t>
  </si>
  <si>
    <t>ACATAGAACA</t>
  </si>
  <si>
    <t>AGGATACCAT</t>
  </si>
  <si>
    <t>ACTTAGGGTT</t>
  </si>
  <si>
    <t>GCTTAGGGAT</t>
  </si>
  <si>
    <t>ACTAGTTATT</t>
  </si>
  <si>
    <t>GTGATCGGAT</t>
  </si>
  <si>
    <t>ACGTGGCGCT</t>
  </si>
  <si>
    <t>GAGGTTCTAT</t>
  </si>
  <si>
    <t>ACACGTGACT</t>
  </si>
  <si>
    <t>CCTCCCGCAT</t>
  </si>
  <si>
    <t>ACGGGGCTCA</t>
  </si>
  <si>
    <t>CAACTTTTAT</t>
  </si>
  <si>
    <t>ACTCGAAGAT</t>
  </si>
  <si>
    <t>jr0670</t>
  </si>
  <si>
    <t>AAGCTTTAAT</t>
  </si>
  <si>
    <t>ACTTATTCGA</t>
  </si>
  <si>
    <t>TCCCACCAAT</t>
  </si>
  <si>
    <t>ACCTCTCAAC</t>
  </si>
  <si>
    <t>TTACACGTAT</t>
  </si>
  <si>
    <t>ACTTAGGACG</t>
  </si>
  <si>
    <t>GAGCGGCGAT</t>
  </si>
  <si>
    <t>ACGTATCATA</t>
  </si>
  <si>
    <t>CACTTGAAAT</t>
  </si>
  <si>
    <t>ACAACACTTG</t>
  </si>
  <si>
    <t>TATCGTATAT</t>
  </si>
  <si>
    <t>ACAGAGTTAG</t>
  </si>
  <si>
    <t>AACTTCCTAT</t>
  </si>
  <si>
    <t>ACACCACGAT</t>
  </si>
  <si>
    <t>jr0694</t>
  </si>
  <si>
    <t>TGACATAGAT</t>
  </si>
  <si>
    <t>ACCCCTAGGG</t>
  </si>
  <si>
    <t>CATCCTCAAT</t>
  </si>
  <si>
    <t>ACGAAATTGC</t>
  </si>
  <si>
    <t>GGAGTAGTAT</t>
  </si>
  <si>
    <t>ACGTTTCTAG</t>
  </si>
  <si>
    <t>TAGCCGACAT</t>
  </si>
  <si>
    <t>ACTGAAGATC</t>
  </si>
  <si>
    <t>CCTAAGCGAT</t>
  </si>
  <si>
    <t>ACGACTATGC</t>
  </si>
  <si>
    <t>CGCTTCATAT</t>
  </si>
  <si>
    <t>ACAATCTTCA</t>
  </si>
  <si>
    <t>GGAGATTTAT</t>
  </si>
  <si>
    <t>ACCGCTGGCG</t>
  </si>
  <si>
    <t>jr0686</t>
  </si>
  <si>
    <t>CCGTGTGGAT</t>
  </si>
  <si>
    <t>ACGAAAGCGT</t>
  </si>
  <si>
    <t>AGTCGCCGAT</t>
  </si>
  <si>
    <t>ACTGGACTAG</t>
  </si>
  <si>
    <t>ACACTGCTAT</t>
  </si>
  <si>
    <t>ACGGCCGTGA</t>
  </si>
  <si>
    <t>TTACGAGAAT</t>
  </si>
  <si>
    <t>ACGCCGAGCA</t>
  </si>
  <si>
    <t>TAGGAGCGAT</t>
  </si>
  <si>
    <t>ACTTGACACC</t>
  </si>
  <si>
    <t>GCTTCCATAT</t>
  </si>
  <si>
    <t>ACGAGATAAT</t>
  </si>
  <si>
    <t>TTCGAGTTAT</t>
  </si>
  <si>
    <t>ACCCTGGAAA</t>
  </si>
  <si>
    <t xml:space="preserve">WT rna </t>
  </si>
  <si>
    <t>ATAAACCGAT</t>
  </si>
  <si>
    <t>ACGTACCCAG</t>
  </si>
  <si>
    <t>water target</t>
  </si>
  <si>
    <t>GTCTCTGAAT</t>
  </si>
  <si>
    <t>ACCACACATT</t>
  </si>
  <si>
    <t>water injection</t>
  </si>
  <si>
    <t>GACGGGGCAT</t>
  </si>
  <si>
    <t>ACAGTGAAGA</t>
  </si>
  <si>
    <t>Old plate nomenclature</t>
  </si>
  <si>
    <t>MAP2 Plate</t>
  </si>
  <si>
    <t>Well Position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</si>
  <si>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</si>
  <si>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</si>
  <si>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</si>
  <si>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</si>
  <si>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</si>
  <si>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</si>
  <si>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</si>
  <si>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</si>
  <si>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AGTCTGTGAT</t>
  </si>
  <si>
    <t>ACCATGGCGT</t>
  </si>
  <si>
    <t>CTTTTAGGAT</t>
  </si>
  <si>
    <t>ACAGGGTATT</t>
  </si>
  <si>
    <t>CTTATCGTAT</t>
  </si>
  <si>
    <t>ACTTTCGTAC</t>
  </si>
  <si>
    <t>ATCCAACGAT</t>
  </si>
  <si>
    <t>ACGTCAATAG</t>
  </si>
  <si>
    <t>GTTCACAGAT</t>
  </si>
  <si>
    <t>ACCGAATAAC</t>
  </si>
  <si>
    <t>ATCCATGAAT</t>
  </si>
  <si>
    <t>ACCATCAAGA</t>
  </si>
  <si>
    <t>CCATTCAGAT</t>
  </si>
  <si>
    <t>ACACCGTGAG</t>
  </si>
  <si>
    <t>GGCGCCCTAT</t>
  </si>
  <si>
    <t>ACCGGAATAC</t>
  </si>
  <si>
    <t>CGCGTAACAT</t>
  </si>
  <si>
    <t>ACCAACCTCT</t>
  </si>
  <si>
    <t>CACCGGGTAT</t>
  </si>
  <si>
    <t>ACTCATAACA</t>
  </si>
  <si>
    <t>CCAATGGAAT</t>
  </si>
  <si>
    <t>ACTCAACTAT</t>
  </si>
  <si>
    <t>GACTCGCGAT</t>
  </si>
  <si>
    <t>ACGCGGGAAC</t>
  </si>
  <si>
    <t>GCTTGGCCAT</t>
  </si>
  <si>
    <t>ACAGTTCAAG</t>
  </si>
  <si>
    <t>GGTAATCTAT</t>
  </si>
  <si>
    <t>ACGAGGCGGC</t>
  </si>
  <si>
    <t>CCGGAAGCAT</t>
  </si>
  <si>
    <t>ACACATTTCA</t>
  </si>
  <si>
    <t>TATATTAGAT</t>
  </si>
  <si>
    <t>ACTGTCACAC</t>
  </si>
  <si>
    <t>GATCGCCAAT</t>
  </si>
  <si>
    <t>ACGACGTCCG</t>
  </si>
  <si>
    <t>GTGAGCACAT</t>
  </si>
  <si>
    <t>ACTTTCACGG</t>
  </si>
  <si>
    <t>GAGTATTCAT</t>
  </si>
  <si>
    <t>ACATTATCAT</t>
  </si>
  <si>
    <t>CGACAGCAAT</t>
  </si>
  <si>
    <t>ACCCTCTAGC</t>
  </si>
  <si>
    <t>CCGGATATAT</t>
  </si>
  <si>
    <t>ACCGCTATAG</t>
  </si>
  <si>
    <t>ATGCCTTTAT</t>
  </si>
  <si>
    <t>ACGCAACAGG</t>
  </si>
  <si>
    <t>GCGGGCAGAT</t>
  </si>
  <si>
    <t>ACAGTAAGTC</t>
  </si>
  <si>
    <t>ATGACCAAAT</t>
  </si>
  <si>
    <t>ACTTAGCTAG</t>
  </si>
  <si>
    <t>CCTTTGTGAT</t>
  </si>
  <si>
    <t>ACATATTCTC</t>
  </si>
  <si>
    <t>ACAATTATAT</t>
  </si>
  <si>
    <t>ACCCGCAAAG</t>
  </si>
  <si>
    <t>ACCAGAACAT</t>
  </si>
  <si>
    <t>ACCCATGTGT</t>
  </si>
  <si>
    <t>TATTATGGAT</t>
  </si>
  <si>
    <t>ACGTATATCT</t>
  </si>
  <si>
    <t>CGCAACGTAT</t>
  </si>
  <si>
    <t>ACATTTACTT</t>
  </si>
  <si>
    <t>TCCGGCTAAT</t>
  </si>
  <si>
    <t>ACCAAGCGAT</t>
  </si>
  <si>
    <t>GTCGGGAAAT</t>
  </si>
  <si>
    <t>ACTATGAATG</t>
  </si>
  <si>
    <t>GAAAATCCAT</t>
  </si>
  <si>
    <t>ACTCCCTAAG</t>
  </si>
  <si>
    <t>TATAGGCGAT</t>
  </si>
  <si>
    <t>ACCGGTAAAA</t>
  </si>
  <si>
    <t>ACTCATGTAT</t>
  </si>
  <si>
    <t>ACAGCCGCGG</t>
  </si>
  <si>
    <t>TAGTGCCGAT</t>
  </si>
  <si>
    <t>ACCAACGTGA</t>
  </si>
  <si>
    <t>ACATCTAGAT</t>
  </si>
  <si>
    <t>ACCCTGTCAC</t>
  </si>
  <si>
    <t>AAAAGAGGAT</t>
  </si>
  <si>
    <t>ACGCATGCAT</t>
  </si>
  <si>
    <t>TGTCGATAAT</t>
  </si>
  <si>
    <t>ACTGGGTCGA</t>
  </si>
  <si>
    <t>CCGAACGGAT</t>
  </si>
  <si>
    <t>ACAAATGATC</t>
  </si>
  <si>
    <t>AGATAAATAT</t>
  </si>
  <si>
    <t>ACCGCAGGAT</t>
  </si>
  <si>
    <t>AGCTTAGCAT</t>
  </si>
  <si>
    <t>ACCCATGCCG</t>
  </si>
  <si>
    <t>CGAGCCACAT</t>
  </si>
  <si>
    <t>ACTTCTCTCA</t>
  </si>
  <si>
    <t>CCCCTTATAT</t>
  </si>
  <si>
    <t>ACGTACGCCC</t>
  </si>
  <si>
    <t>AGGCTCATAT</t>
  </si>
  <si>
    <t>ACAGATCGGC</t>
  </si>
  <si>
    <t>CCGTCCTTAT</t>
  </si>
  <si>
    <t>ACCATTTGAT</t>
  </si>
  <si>
    <t>ATATAGTAAT</t>
  </si>
  <si>
    <t>ACTAATGAGT</t>
  </si>
  <si>
    <t>GCGCAGGAAT</t>
  </si>
  <si>
    <t>ACCCTGACCT</t>
  </si>
  <si>
    <t>TTGCTGTAAT</t>
  </si>
  <si>
    <t>ACGTTTTACT</t>
  </si>
  <si>
    <t>CTAATATCAT</t>
  </si>
  <si>
    <t>ACAAGCAGTG</t>
  </si>
  <si>
    <t>AAATACCAAT</t>
  </si>
  <si>
    <t>ACATGTTCAG</t>
  </si>
  <si>
    <t>CGGGGGAGAT</t>
  </si>
  <si>
    <t>ACAAACTTTT</t>
  </si>
  <si>
    <t>GTGAACTTAT</t>
  </si>
  <si>
    <t>ACCAGCTTCC</t>
  </si>
  <si>
    <t>GGTCATGCAT</t>
  </si>
  <si>
    <t>ACCTCGACCA</t>
  </si>
  <si>
    <t>AGAAGGTTAT</t>
  </si>
  <si>
    <t>ACAGGCGAAT</t>
  </si>
  <si>
    <t>TCTCCTTAAT</t>
  </si>
  <si>
    <t>ACAACACCGT</t>
  </si>
  <si>
    <t>TGGTGGCAAT</t>
  </si>
  <si>
    <t>ACAATTGCGA</t>
  </si>
  <si>
    <t>TTTTATTAAT</t>
  </si>
  <si>
    <t>ACACGTATCC</t>
  </si>
  <si>
    <t>GGCTAACTAT</t>
  </si>
  <si>
    <t>ACCTAAGTAA</t>
  </si>
  <si>
    <t>CTCTACAAAT</t>
  </si>
  <si>
    <t>ACAAGCTAAG</t>
  </si>
  <si>
    <t>AAAACCTAAT</t>
  </si>
  <si>
    <t>ACAGTGCCCG</t>
  </si>
  <si>
    <t>TGGATCAAAT</t>
  </si>
  <si>
    <t>ACGAATGTAC</t>
  </si>
  <si>
    <t>GGGTTGACAT</t>
  </si>
  <si>
    <t>ACAGAATTCT</t>
  </si>
  <si>
    <t>CTTACATGAT</t>
  </si>
  <si>
    <t>ACTTTCTAGA</t>
  </si>
  <si>
    <t>GCGGTTGAAT</t>
  </si>
  <si>
    <t>ACAATGCCTT</t>
  </si>
  <si>
    <t>CGATTCTAAT</t>
  </si>
  <si>
    <t>ACTATTCATC</t>
  </si>
  <si>
    <t>CTCGGATGAT</t>
  </si>
  <si>
    <t>ACACCCAATG</t>
  </si>
  <si>
    <t>CGCATCCGAT</t>
  </si>
  <si>
    <t>ACTGAGCAGA</t>
  </si>
  <si>
    <t>AAAGATTGAT</t>
  </si>
  <si>
    <t>ACTTTAACCT</t>
  </si>
  <si>
    <t>AGTCTTGAAT</t>
  </si>
  <si>
    <t>ACGGGATAGG</t>
  </si>
  <si>
    <t>CGGTCCAAAT</t>
  </si>
  <si>
    <t>ACGTAATCTT</t>
  </si>
  <si>
    <t>TATACCGCAT</t>
  </si>
  <si>
    <t>ACGTGGCCAA</t>
  </si>
  <si>
    <t>CACTCCACAT</t>
  </si>
  <si>
    <t>ACGTGCTGAG</t>
  </si>
  <si>
    <t>GTACATAAAT</t>
  </si>
  <si>
    <t>ACTCTTTGAG</t>
  </si>
  <si>
    <t>ACTTTAGTAT</t>
  </si>
  <si>
    <t>ACAAAGCCGG</t>
  </si>
  <si>
    <t>AGTAGCGTAT</t>
  </si>
  <si>
    <t>ACTTCTGCTG</t>
  </si>
  <si>
    <t>TTCGCTAAAT</t>
  </si>
  <si>
    <t>ACCCTCGGAG</t>
  </si>
  <si>
    <t>TTCATCTCAT</t>
  </si>
  <si>
    <t>ACAAGCATGA</t>
  </si>
  <si>
    <t>TGTGTCATAT</t>
  </si>
  <si>
    <t>ACCTGCGTCT</t>
  </si>
  <si>
    <t>CTTGATTCAT</t>
  </si>
  <si>
    <t>ACATGGTGTG</t>
  </si>
  <si>
    <t>GCAACATGAT</t>
  </si>
  <si>
    <t>ACTCGGCTGA</t>
  </si>
  <si>
    <t>GGCCCCAAAT</t>
  </si>
  <si>
    <t>ACTAAGTAAT</t>
  </si>
  <si>
    <t>TGAACGGTAT</t>
  </si>
  <si>
    <t>ACTTATAAAG</t>
  </si>
  <si>
    <t>CAAGTTCGAT</t>
  </si>
  <si>
    <t>ACGCATTAGT</t>
  </si>
  <si>
    <t>CTCCTCGAAT</t>
  </si>
  <si>
    <t>ACTACACGCG</t>
  </si>
  <si>
    <t>AGGGGTCTAT</t>
  </si>
  <si>
    <t>ACCGGAGGTA</t>
  </si>
  <si>
    <t>ATTGCTCGAT</t>
  </si>
  <si>
    <t>ACGTCGTGGT</t>
  </si>
  <si>
    <t>AAGACTCTAT</t>
  </si>
  <si>
    <t>ACTACCCCTA</t>
  </si>
  <si>
    <t>CCCCGACCAT</t>
  </si>
  <si>
    <t>ACCTTGCCTC</t>
  </si>
  <si>
    <t>GTTGAAGGAT</t>
  </si>
  <si>
    <t>ACAATGGACA</t>
  </si>
  <si>
    <t>GTCCCTTGAT</t>
  </si>
  <si>
    <t>ACTCTGCATT</t>
  </si>
  <si>
    <t>GAGGGAGAAT</t>
  </si>
  <si>
    <t>ACCGCGAGCT</t>
  </si>
  <si>
    <t>AAACCAATAT</t>
  </si>
  <si>
    <t>ACGCGAATGT</t>
  </si>
  <si>
    <t>CTAACGATAT</t>
  </si>
  <si>
    <t>ACGGCCCGCT</t>
  </si>
  <si>
    <t>AGATGGCGAT</t>
  </si>
  <si>
    <t>ACTAAGTTGA</t>
  </si>
  <si>
    <t>GATGTTGGAT</t>
  </si>
  <si>
    <t>ACCAGAAGAG</t>
  </si>
  <si>
    <t>TCACTCTGAT</t>
  </si>
  <si>
    <t>ACTGCTGGGC</t>
  </si>
  <si>
    <t>CTGCGATAAT</t>
  </si>
  <si>
    <t>ACCCCATTAA</t>
  </si>
  <si>
    <t>ATTTTACCAT</t>
  </si>
  <si>
    <t>ACGGGTTGCG</t>
  </si>
  <si>
    <t>CCTAGGTAAT</t>
  </si>
  <si>
    <t>ACACAGTGCT</t>
  </si>
  <si>
    <t>GCTATCTTAT</t>
  </si>
  <si>
    <t>ACCAACAGGC</t>
  </si>
  <si>
    <t>CTGCTGAGAT</t>
  </si>
  <si>
    <t>ACTACCTTGC</t>
  </si>
  <si>
    <t>TCGGCCCGAT</t>
  </si>
  <si>
    <t>ACACCGACCG</t>
  </si>
  <si>
    <t>TGGTCTGCAT</t>
  </si>
  <si>
    <t>ACGAAGATCA</t>
  </si>
  <si>
    <t>TTGGACCCAT</t>
  </si>
  <si>
    <t>ACTGAATTTG</t>
  </si>
  <si>
    <t>TAATAGTCAT</t>
  </si>
  <si>
    <t>ACTCGGAGTA</t>
  </si>
  <si>
    <t>CGCTGTGTAT</t>
  </si>
  <si>
    <t>ACAAAGGTCC</t>
  </si>
  <si>
    <t>AAACGGGCAT</t>
  </si>
  <si>
    <t>ACGTGCGATA</t>
  </si>
  <si>
    <t>CTCTGCCGAT</t>
  </si>
  <si>
    <t>ACCCGTTAAT</t>
  </si>
  <si>
    <t>ATGTGCTAAT</t>
  </si>
  <si>
    <t>ACGGCCTTTT</t>
  </si>
  <si>
    <t>CACAATAGAT</t>
  </si>
  <si>
    <t>ACTTGTACCC</t>
  </si>
  <si>
    <t>CGCGCTGCAT</t>
  </si>
  <si>
    <t>ACCTCTCGTG</t>
  </si>
  <si>
    <t>CTTTCCTAAT</t>
  </si>
  <si>
    <t>ACACGACGGC</t>
  </si>
  <si>
    <t>CAACCCAAAT</t>
  </si>
  <si>
    <t>ACCTACTATC</t>
  </si>
  <si>
    <t>CGGGCTCGAT</t>
  </si>
  <si>
    <t>ACATAGGCTG</t>
  </si>
  <si>
    <t>TCGCGCTCAT</t>
  </si>
  <si>
    <t>ACAGGGAGAG</t>
  </si>
  <si>
    <t>TTAGCGTAAT</t>
  </si>
  <si>
    <t>ACTGTGCGGT</t>
  </si>
  <si>
    <t>TAAGCGGCAT</t>
  </si>
  <si>
    <t>ACCGCTTCTT</t>
  </si>
  <si>
    <t>TCCCCAAAAT</t>
  </si>
  <si>
    <t>ACCCAGAAGG</t>
  </si>
  <si>
    <t>TGCATGGGAT</t>
  </si>
  <si>
    <t>ACTCAGTGTC</t>
  </si>
  <si>
    <t>AGAGTTTAAT</t>
  </si>
  <si>
    <t>ACGACGTTTC</t>
  </si>
  <si>
    <t>ACTTGTAAAT</t>
  </si>
  <si>
    <t>ACCCTCCGTC</t>
  </si>
  <si>
    <t>AGGCCGAGAT</t>
  </si>
  <si>
    <t>ACATTGTTGG</t>
  </si>
  <si>
    <t>TTAACCGAAT</t>
  </si>
  <si>
    <t>ACTAGAGTTA</t>
  </si>
  <si>
    <t>ACCATATGAT</t>
  </si>
  <si>
    <t>ACATGCTTGC</t>
  </si>
  <si>
    <t>CTATGTCTAT</t>
  </si>
  <si>
    <t>ACACTTCCCT</t>
  </si>
  <si>
    <t>ATCACCCCAT</t>
  </si>
  <si>
    <t>ACTAAATGGG</t>
  </si>
  <si>
    <t>TAGAGACAAT</t>
  </si>
  <si>
    <t>ACGCTCGAGT</t>
  </si>
  <si>
    <t>GATCGAGTAT</t>
  </si>
  <si>
    <t>ACGCGTCAGC</t>
  </si>
  <si>
    <t>CGTGCGTGAT</t>
  </si>
  <si>
    <t>ACACCTGGAA</t>
  </si>
  <si>
    <t>ATGCAAATAT</t>
  </si>
  <si>
    <t>ACGATCGAAG</t>
  </si>
  <si>
    <t>TGCGACAAAT</t>
  </si>
  <si>
    <t>ACCAGCGGTT</t>
  </si>
  <si>
    <t>CACGACCTAT</t>
  </si>
  <si>
    <t>ACCGCAATTT</t>
  </si>
  <si>
    <t>AGGCACTCAT</t>
  </si>
  <si>
    <t>ACGGACAATC</t>
  </si>
  <si>
    <t>CAAAAGTTAT</t>
  </si>
  <si>
    <t>ACTTAACGTG</t>
  </si>
  <si>
    <t>CTGAGACGAT</t>
  </si>
  <si>
    <t>ACTATGTACC</t>
  </si>
  <si>
    <t>TCAAAGATAT</t>
  </si>
  <si>
    <t>ACTGTAGGTG</t>
  </si>
  <si>
    <t>GCGCGAAAAT</t>
  </si>
  <si>
    <t>ACAAAGTATA</t>
  </si>
  <si>
    <t>GCTCTCAAAT</t>
  </si>
  <si>
    <t>ACTGCCTGGA</t>
  </si>
  <si>
    <t>TGATTAGGAT</t>
  </si>
  <si>
    <t>ACAAAACGAA</t>
  </si>
  <si>
    <t>ACCGGTGTAT</t>
  </si>
  <si>
    <t>ACAATGCGCC</t>
  </si>
  <si>
    <t>GATTTAATAT</t>
  </si>
  <si>
    <t>ACCATTCTGC</t>
  </si>
  <si>
    <t>AGTGCAAAAT</t>
  </si>
  <si>
    <t>ACCGTGGGGG</t>
  </si>
  <si>
    <t>TCATACCGAT</t>
  </si>
  <si>
    <t>ACTTCTAGAA</t>
  </si>
  <si>
    <t>GTCGTCAGAT</t>
  </si>
  <si>
    <t>ACGCGCACGG</t>
  </si>
  <si>
    <t>AGTACCCAAT</t>
  </si>
  <si>
    <t>ACCGTGCTAT</t>
  </si>
  <si>
    <t>TGTGCTACAT</t>
  </si>
  <si>
    <t>ACGAGTACAA</t>
  </si>
  <si>
    <t>TGCGATGTAT</t>
  </si>
  <si>
    <t>ACAGAGGCGA</t>
  </si>
  <si>
    <t>CTCTAGGTAT</t>
  </si>
  <si>
    <t>ACGATCGGGA</t>
  </si>
  <si>
    <t>CGGCACGAAT</t>
  </si>
  <si>
    <t>ACACATGAAG</t>
  </si>
  <si>
    <t>CAGAACACAT</t>
  </si>
  <si>
    <t>ACTCGCGGAC</t>
  </si>
  <si>
    <t>GACACTTTAT</t>
  </si>
  <si>
    <t>ACCGTATCTA</t>
  </si>
  <si>
    <t>GGGTCACAAT</t>
  </si>
  <si>
    <t>ACGGAGTCAC</t>
  </si>
  <si>
    <t>GGAGGCATAT</t>
  </si>
  <si>
    <t>ACTGTTGCTA</t>
  </si>
  <si>
    <t>ATTTCTGTAT</t>
  </si>
  <si>
    <t>ACGAGACTCT</t>
  </si>
  <si>
    <t>TCACGCAAAT</t>
  </si>
  <si>
    <t>ACCCGCCACA</t>
  </si>
  <si>
    <t>GTCTATAGAT</t>
  </si>
  <si>
    <t>ACGCACGTGC</t>
  </si>
  <si>
    <t>GCCCGGCTAT</t>
  </si>
  <si>
    <t>ACCACGAACC</t>
  </si>
  <si>
    <t>ACTGTTTTAT</t>
  </si>
  <si>
    <t>ACGCCAGTTC</t>
  </si>
  <si>
    <t>CTTTCGCTAT</t>
  </si>
  <si>
    <t>ACTACAGGAC</t>
  </si>
  <si>
    <t>CGTGGAATAT</t>
  </si>
  <si>
    <t>ACGAATTGCC</t>
  </si>
  <si>
    <t>ATCTGAGGAT</t>
  </si>
  <si>
    <t>ACCCCGATGT</t>
  </si>
  <si>
    <t>GAATCACTAT</t>
  </si>
  <si>
    <t>ACGGCGTAGA</t>
  </si>
  <si>
    <t>AGCTATCAAT</t>
  </si>
  <si>
    <t>ACACAGTAGC</t>
  </si>
  <si>
    <t>GCCGCGCCAT</t>
  </si>
  <si>
    <t>ACGGAGACCT</t>
  </si>
  <si>
    <t>GTCAGGTTAT</t>
  </si>
  <si>
    <t>ACCTTTAGAG</t>
  </si>
  <si>
    <t>GTCAAGCGAT</t>
  </si>
  <si>
    <t>ACCTCCTGCA</t>
  </si>
  <si>
    <t>TGGTTATTAT</t>
  </si>
  <si>
    <t>ACTAGGGAGG</t>
  </si>
  <si>
    <t>GGTGGTCGAT</t>
  </si>
  <si>
    <t>ACGTCACCGG</t>
  </si>
  <si>
    <t>GCGTTGTTAT</t>
  </si>
  <si>
    <t>ACTCCCAGGT</t>
  </si>
  <si>
    <t>TGCCCCTCAT</t>
  </si>
  <si>
    <t>ACGCTCTTGA</t>
  </si>
  <si>
    <t>CGAATAAAAT</t>
  </si>
  <si>
    <t>ACGACTGACG</t>
  </si>
  <si>
    <t>CGTTGCGCAT</t>
  </si>
  <si>
    <t>ACTTCCTTCT</t>
  </si>
  <si>
    <t>ATGATTCAAT</t>
  </si>
  <si>
    <t>ACACTTTTAT</t>
  </si>
  <si>
    <t>CGTTATATAT</t>
  </si>
  <si>
    <t>ACGAACTGAA</t>
  </si>
  <si>
    <t>ACTGGCGAAT</t>
  </si>
  <si>
    <t>ACATACTGCC</t>
  </si>
  <si>
    <t>GGGCTAGCAT</t>
  </si>
  <si>
    <t>ACACTGCCAA</t>
  </si>
  <si>
    <t>ACGCCTCGAT</t>
  </si>
  <si>
    <t>ACTCGCTATC</t>
  </si>
  <si>
    <t>GCCCAATCAT</t>
  </si>
  <si>
    <t>ACACTAGCGC</t>
  </si>
  <si>
    <t>TATGTTCCAT</t>
  </si>
  <si>
    <t>ACATCTTTTT</t>
  </si>
  <si>
    <t>AATAGACTAT</t>
  </si>
  <si>
    <t>ACTGCTTATA</t>
  </si>
  <si>
    <t>CACCTATGAT</t>
  </si>
  <si>
    <t>ACAAATTACG</t>
  </si>
  <si>
    <t>GATAAATGAT</t>
  </si>
  <si>
    <t>ACCGCTAGTA</t>
  </si>
  <si>
    <t>TCGGACTTAT</t>
  </si>
  <si>
    <t>ACACGATCCC</t>
  </si>
  <si>
    <t>TGGACCTGAT</t>
  </si>
  <si>
    <t>ACGAGCAAAC</t>
  </si>
  <si>
    <t>CCATCACGAT</t>
  </si>
  <si>
    <t>ACCTCACGCC</t>
  </si>
  <si>
    <t>TGAATCGCAT</t>
  </si>
  <si>
    <t>ACTCGTGCTC</t>
  </si>
  <si>
    <t>AGCCAAGTAT</t>
  </si>
  <si>
    <t>ACCGACGTAT</t>
  </si>
  <si>
    <t>CAAAGCAGAT</t>
  </si>
  <si>
    <t>ACCAAGGGTG</t>
  </si>
  <si>
    <t>ACGGATTAAT</t>
  </si>
  <si>
    <t>ACCACATCCA</t>
  </si>
  <si>
    <t>CT result input</t>
  </si>
  <si>
    <t>Well</t>
  </si>
  <si>
    <t xml:space="preserve">Imput CT </t>
  </si>
  <si>
    <t>Note:</t>
  </si>
  <si>
    <t>A1</t>
  </si>
  <si>
    <t>A2</t>
  </si>
  <si>
    <t>A3</t>
  </si>
  <si>
    <t>A4</t>
  </si>
  <si>
    <t>A5</t>
  </si>
  <si>
    <t>A6</t>
  </si>
  <si>
    <t>gfp</t>
  </si>
  <si>
    <t>actin</t>
  </si>
  <si>
    <t>acitin</t>
  </si>
  <si>
    <t>A7</t>
  </si>
  <si>
    <t>1~3</t>
  </si>
  <si>
    <t>4~6</t>
  </si>
  <si>
    <t>7~9</t>
  </si>
  <si>
    <t>10~12</t>
  </si>
  <si>
    <t>A8</t>
  </si>
  <si>
    <t xml:space="preserve">sample1 </t>
  </si>
  <si>
    <t>sample 9</t>
  </si>
  <si>
    <t>A9</t>
  </si>
  <si>
    <t>sample2</t>
  </si>
  <si>
    <t>sample 10</t>
  </si>
  <si>
    <t>A10</t>
  </si>
  <si>
    <t>sample3</t>
  </si>
  <si>
    <t>sample 11</t>
  </si>
  <si>
    <t>A11</t>
  </si>
  <si>
    <t>sample4</t>
  </si>
  <si>
    <t>sample 12</t>
  </si>
  <si>
    <t>A12</t>
  </si>
  <si>
    <t>sample5</t>
  </si>
  <si>
    <t>sample 13</t>
  </si>
  <si>
    <t>B1</t>
  </si>
  <si>
    <t>sample6</t>
  </si>
  <si>
    <t>sample 14</t>
  </si>
  <si>
    <t>B2</t>
  </si>
  <si>
    <t>sample7</t>
  </si>
  <si>
    <t>sample 15</t>
  </si>
  <si>
    <t>B3</t>
  </si>
  <si>
    <t>sample8</t>
  </si>
  <si>
    <t>sample 16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</si>
  <si>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</si>
  <si>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</si>
  <si>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</si>
  <si>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</si>
  <si>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</si>
  <si>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</si>
  <si>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</si>
  <si>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</si>
  <si>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</si>
  <si>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</si>
  <si>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</si>
  <si>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</si>
  <si>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</si>
  <si>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</si>
  <si>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</si>
  <si>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</si>
  <si>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</si>
  <si>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</si>
  <si>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</si>
  <si>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</si>
  <si>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</si>
  <si>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</si>
  <si>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</si>
  <si>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</si>
  <si>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</si>
  <si>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</si>
  <si>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</si>
  <si>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</si>
  <si>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</si>
  <si>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</si>
  <si>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</si>
  <si>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</si>
  <si>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</si>
  <si>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</si>
  <si>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</si>
  <si>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</si>
  <si>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</si>
  <si>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</si>
  <si>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</si>
  <si>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</si>
  <si>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</si>
  <si>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</si>
  <si>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</si>
  <si>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</si>
  <si>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</si>
  <si>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</si>
  <si>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</si>
  <si>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</si>
  <si>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</si>
  <si>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</si>
  <si>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</si>
  <si>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</si>
  <si>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</si>
  <si>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</si>
  <si>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</si>
  <si>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</si>
  <si>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</si>
  <si>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</si>
  <si>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</si>
  <si>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</si>
  <si>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</si>
  <si>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</si>
  <si>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</si>
  <si>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</si>
  <si>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</si>
  <si>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</si>
  <si>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</si>
  <si>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</si>
  <si>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</si>
  <si>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</si>
  <si>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</si>
  <si>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</si>
  <si>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</si>
  <si>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</si>
  <si>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</si>
  <si>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</si>
  <si>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</si>
  <si>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</si>
  <si>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</si>
  <si>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</si>
  <si>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</si>
  <si>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CT gfp</t>
  </si>
  <si>
    <t>CT actin</t>
  </si>
  <si>
    <t>mean gfp</t>
  </si>
  <si>
    <t>mean actin</t>
  </si>
  <si>
    <t>∆CT</t>
  </si>
  <si>
    <t>general information in RT</t>
  </si>
  <si>
    <t>DR 05/21/2025</t>
  </si>
  <si>
    <t>RNA pellets dissolved into H2O (ul)</t>
  </si>
  <si>
    <t>ul of RNA used for QC dil</t>
  </si>
  <si>
    <t>2 ul in 4 ul water</t>
  </si>
  <si>
    <t>ul of RNA used for real RT</t>
  </si>
  <si>
    <t>numbers of injection sites processed</t>
  </si>
  <si>
    <t>numbers of target sites pooled before 2nd strand cDNA synthesis</t>
  </si>
  <si>
    <t xml:space="preserve">number of reaction for 2nd cDNA synthesis </t>
  </si>
  <si>
    <t>NA</t>
  </si>
  <si>
    <t>For injection site</t>
  </si>
  <si>
    <t>For target site</t>
  </si>
  <si>
    <t>PCR I reation volume per site (ul)</t>
  </si>
  <si>
    <t>PCR I reation volume pooled (ul)</t>
  </si>
  <si>
    <t>PCR I cycle number</t>
  </si>
  <si>
    <t>15x</t>
  </si>
  <si>
    <t>PCR I extention time</t>
  </si>
  <si>
    <t>30 sec</t>
  </si>
  <si>
    <t>PCR II reation volume per site (ul)</t>
  </si>
  <si>
    <t>PCR II test volume ul</t>
  </si>
  <si>
    <t>PCR II test cycles</t>
  </si>
  <si>
    <t>11, 14, 17, 20, 23, 26</t>
  </si>
  <si>
    <t>14, 17, 20, 23, 26, 29</t>
  </si>
  <si>
    <t>Gel purification from cycles#</t>
  </si>
  <si>
    <t>Optimal cycles#</t>
  </si>
  <si>
    <t>PCR II extention time</t>
  </si>
  <si>
    <t>PCRII extention time</t>
  </si>
  <si>
    <t>2 min</t>
  </si>
  <si>
    <t>PCR II volume for real run ul</t>
  </si>
  <si>
    <t>25ul</t>
  </si>
  <si>
    <t>PCR II cycle number for real run</t>
  </si>
  <si>
    <t>Wells used on the gel</t>
  </si>
  <si>
    <t>PCR II cycle calculator</t>
  </si>
  <si>
    <t>need input</t>
  </si>
  <si>
    <t>Test Template (ul)</t>
  </si>
  <si>
    <t>Test Volume (ul)</t>
  </si>
  <si>
    <t>Real Run Template Volume (ul)</t>
  </si>
  <si>
    <t>Real Volume (ul)</t>
  </si>
  <si>
    <t>concT</t>
  </si>
  <si>
    <t>concR</t>
  </si>
  <si>
    <t>concR/ConcT</t>
  </si>
  <si>
    <t>Difference1</t>
  </si>
  <si>
    <t>VR/VT</t>
  </si>
  <si>
    <t>Difference2</t>
  </si>
  <si>
    <t xml:space="preserve">Difference Total </t>
  </si>
  <si>
    <t>Cycle difference</t>
  </si>
  <si>
    <t xml:space="preserve">Test cycle number </t>
  </si>
  <si>
    <t>cycle number for real run</t>
  </si>
  <si>
    <t>For injection site I</t>
  </si>
  <si>
    <t>For injection site II</t>
  </si>
  <si>
    <t>example</t>
  </si>
  <si>
    <t>ul of H2O used to elute the gel product</t>
  </si>
  <si>
    <t>13 ul</t>
  </si>
  <si>
    <t>Concentration of purified gel product based on nanadrop (ng/ul)</t>
  </si>
  <si>
    <t>250ng/ul</t>
  </si>
  <si>
    <t>30ng/ul</t>
  </si>
  <si>
    <t>Dilution used for bioanalyzer</t>
  </si>
  <si>
    <t>Concentration of purified gel product based on Bioanalyzer (nM)</t>
  </si>
  <si>
    <t>Formula used</t>
  </si>
  <si>
    <t>Original concentration before dilution (nM)</t>
  </si>
  <si>
    <t>Size of purified gel product based on Bioanalyzer</t>
  </si>
  <si>
    <t>226 bp</t>
  </si>
  <si>
    <t>233 bp</t>
  </si>
  <si>
    <t>dilution required to get 4nM</t>
  </si>
  <si>
    <t>dilution required to get 5nM</t>
  </si>
  <si>
    <t>ul used for dilution to get 4nM</t>
  </si>
  <si>
    <t>ul used for dilution to get 5nM</t>
  </si>
  <si>
    <t>H2O need to add for this dilution</t>
  </si>
  <si>
    <t>Final volume after dilution</t>
  </si>
  <si>
    <t>Volume used for sending NGS library</t>
  </si>
  <si>
    <t>For pooled target site</t>
  </si>
  <si>
    <t>400ng/ul</t>
  </si>
  <si>
    <t>Library sumission calculations</t>
  </si>
  <si>
    <t>14inj sites x 50m = 700M</t>
  </si>
  <si>
    <t>83target sites x 25M = 2075M</t>
  </si>
  <si>
    <t>227 bp</t>
  </si>
  <si>
    <t>%</t>
  </si>
  <si>
    <t>ul</t>
  </si>
  <si>
    <t>% of Injection site I for NGS</t>
  </si>
  <si>
    <t>% of Injection site II for NGS</t>
  </si>
  <si>
    <t>% of Pooled target site for NGS</t>
  </si>
  <si>
    <t>Final volume submitted for NGS ul</t>
  </si>
  <si>
    <t xml:space="preserve"> </t>
  </si>
  <si>
    <t>Key In sample number</t>
  </si>
  <si>
    <t>samplenumer</t>
  </si>
  <si>
    <t>Raw Loading pM</t>
  </si>
  <si>
    <t>actual concentration of library</t>
  </si>
  <si>
    <t>target concentration</t>
  </si>
  <si>
    <t>actual conc</t>
  </si>
  <si>
    <t>volume</t>
  </si>
  <si>
    <t>volume to add in ul</t>
  </si>
  <si>
    <t>mouse</t>
  </si>
  <si>
    <t>scalefactor</t>
  </si>
  <si>
    <t>percentage of reads</t>
  </si>
  <si>
    <t>Final volume</t>
  </si>
  <si>
    <t>total %</t>
  </si>
  <si>
    <t>Minimum for NGS: 15ul of product @ &gt;3nM</t>
  </si>
  <si>
    <t>Optimal for NGS: 15 ul of product @~7nM</t>
  </si>
  <si>
    <t>Sample ID</t>
  </si>
  <si>
    <t>Sample Name</t>
  </si>
  <si>
    <t xml:space="preserve">Working dilution </t>
  </si>
  <si>
    <t xml:space="preserve">Run Type </t>
  </si>
  <si>
    <t>Run Length</t>
  </si>
  <si>
    <t>#of Lane</t>
  </si>
  <si>
    <t>Data link</t>
  </si>
  <si>
    <t>m300</t>
  </si>
  <si>
    <t>hzhan_208045</t>
  </si>
  <si>
    <t>4nM</t>
  </si>
  <si>
    <t>Johns Hopkins NovaSeq</t>
  </si>
  <si>
    <t>submitted on May 22</t>
  </si>
  <si>
    <t>Site Information codes</t>
  </si>
  <si>
    <t>injection</t>
  </si>
  <si>
    <t>injection-water-control</t>
  </si>
  <si>
    <t>target</t>
  </si>
  <si>
    <t>target-water-control</t>
  </si>
  <si>
    <t>target-lone-control</t>
  </si>
  <si>
    <t>target-negative</t>
  </si>
  <si>
    <t>target-negative-control</t>
  </si>
  <si>
    <t>target-wt-control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</si>
</sst>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charset val="1"/>
    </font>
    <font>
      <b/>
      <sz val="14"/>
      <color rgb="FFFF0000"/>
      <name val="Calibri (Body)"/>
      <charset val="1"/>
    </font>
    <font>
      <sz val="12"/>
      <color theme="1"/>
      <name val="Arial"/>
      <family val="2"/>
      <charset val="1"/>
    </font>
    <font>
      <b/>
      <sz val="12"/>
      <color rgb="FFFF0000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2"/>
      <color rgb="FFFF0000"/>
      <name val="Calibri (Body)"/>
      <charset val="1"/>
    </font>
    <font>
      <sz val="14"/>
      <color theme="1"/>
      <name val="Arial"/>
      <family val="2"/>
      <charset val="1"/>
    </font>
    <font>
      <sz val="11"/>
      <color rgb="FFFF0000"/>
      <name val="Calibri (Body)"/>
      <charset val="1"/>
    </font>
    <font>
      <sz val="14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C5E0B3"/>
      </patternFill>
    </fill>
    <fill>
      <patternFill patternType="solid">
        <fgColor theme="0" tint="-0.14999847407452621"/>
        <bgColor rgb="FFDADADA"/>
      </patternFill>
    </fill>
    <fill>
      <patternFill patternType="solid">
        <fgColor theme="9"/>
        <bgColor rgb="FF99CC00"/>
      </patternFill>
    </fill>
    <fill>
      <patternFill patternType="solid">
        <fgColor theme="0"/>
        <bgColor rgb="FFE2F0D9"/>
      </patternFill>
    </fill>
    <fill>
      <patternFill patternType="solid">
        <fgColor theme="1" tint="0.49989318521683401"/>
        <bgColor rgb="FF808080"/>
      </patternFill>
    </fill>
    <fill>
      <patternFill patternType="solid">
        <fgColor theme="5" tint="0.59987182226020086"/>
        <bgColor rgb="FFF7CAAC"/>
      </patternFill>
    </fill>
    <fill>
      <patternFill patternType="solid">
        <fgColor rgb="FF808080"/>
        <bgColor rgb="FF7F7F7F"/>
      </patternFill>
    </fill>
    <fill>
      <patternFill patternType="solid">
        <fgColor rgb="FFFFDBB6"/>
        <bgColor rgb="FFF8CBAD"/>
      </patternFill>
    </fill>
    <fill>
      <patternFill patternType="solid">
        <fgColor theme="0"/>
        <bgColor rgb="FFFFFF99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188">
    <xf numFmtId="0" fontId="0" fillId="0" borderId="0" xfId="0"/>
    <xf numFmtId="0" fontId="3" fillId="0" borderId="0" xfId="0" applyFont="1"/>
    <xf numFmtId="49" fontId="4" fillId="0" borderId="0" xfId="0" applyNumberFormat="1" applyFont="1" applyAlignment="1">
      <alignment wrapText="1"/>
    </xf>
    <xf numFmtId="0" fontId="6" fillId="2" borderId="2" xfId="0" applyFont="1" applyFill="1" applyBorder="1"/>
    <xf numFmtId="0" fontId="0" fillId="0" borderId="3" xfId="0" applyBorder="1"/>
    <xf numFmtId="0" fontId="6" fillId="0" borderId="4" xfId="0" applyFont="1" applyBorder="1"/>
    <xf numFmtId="0" fontId="0" fillId="0" borderId="5" xfId="0" applyBorder="1"/>
    <xf numFmtId="0" fontId="0" fillId="0" borderId="6" xfId="0" applyBorder="1"/>
    <xf numFmtId="0" fontId="6" fillId="2" borderId="5" xfId="0" applyFont="1" applyFill="1" applyBorder="1"/>
    <xf numFmtId="0" fontId="0" fillId="0" borderId="7" xfId="0" applyBorder="1"/>
    <xf numFmtId="0" fontId="0" fillId="0" borderId="9" xfId="0" applyBorder="1"/>
    <xf numFmtId="0" fontId="0" fillId="0" borderId="2" xfId="0" applyBorder="1"/>
    <xf numFmtId="0" fontId="2" fillId="0" borderId="4" xfId="0" applyFont="1" applyBorder="1"/>
    <xf numFmtId="49" fontId="4" fillId="2" borderId="2" xfId="0" applyNumberFormat="1" applyFont="1" applyFill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49" fontId="7" fillId="0" borderId="8" xfId="0" applyNumberFormat="1" applyFont="1" applyBorder="1" applyAlignment="1">
      <alignment wrapText="1"/>
    </xf>
    <xf numFmtId="49" fontId="4" fillId="0" borderId="10" xfId="0" applyNumberFormat="1" applyFont="1" applyBorder="1" applyAlignment="1">
      <alignment wrapText="1"/>
    </xf>
    <xf numFmtId="0" fontId="6" fillId="2" borderId="1" xfId="0" applyFont="1" applyFill="1" applyBorder="1"/>
    <xf numFmtId="0" fontId="0" fillId="0" borderId="1" xfId="0" applyBorder="1"/>
    <xf numFmtId="49" fontId="4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3" fillId="2" borderId="12" xfId="0" applyFont="1" applyFill="1" applyBorder="1"/>
    <xf numFmtId="0" fontId="3" fillId="2" borderId="13" xfId="0" applyFont="1" applyFill="1" applyBorder="1"/>
    <xf numFmtId="0" fontId="4" fillId="0" borderId="0" xfId="0" applyFont="1"/>
    <xf numFmtId="0" fontId="5" fillId="0" borderId="3" xfId="0" applyFont="1" applyBorder="1"/>
    <xf numFmtId="0" fontId="0" fillId="0" borderId="4" xfId="0" applyBorder="1"/>
    <xf numFmtId="0" fontId="4" fillId="2" borderId="5" xfId="0" applyFont="1" applyFill="1" applyBorder="1"/>
    <xf numFmtId="0" fontId="4" fillId="2" borderId="0" xfId="0" applyFont="1" applyFill="1"/>
    <xf numFmtId="0" fontId="4" fillId="2" borderId="6" xfId="0" applyFont="1" applyFill="1" applyBorder="1"/>
    <xf numFmtId="0" fontId="4" fillId="0" borderId="5" xfId="0" applyFont="1" applyBorder="1"/>
    <xf numFmtId="0" fontId="7" fillId="0" borderId="0" xfId="0" applyFont="1"/>
    <xf numFmtId="0" fontId="4" fillId="0" borderId="8" xfId="0" applyFont="1" applyBorder="1"/>
    <xf numFmtId="0" fontId="0" fillId="0" borderId="8" xfId="0" applyBorder="1"/>
    <xf numFmtId="0" fontId="4" fillId="3" borderId="0" xfId="0" applyFont="1" applyFill="1"/>
    <xf numFmtId="0" fontId="0" fillId="3" borderId="0" xfId="0" applyFill="1"/>
    <xf numFmtId="0" fontId="0" fillId="3" borderId="3" xfId="0" applyFill="1" applyBorder="1"/>
    <xf numFmtId="0" fontId="0" fillId="0" borderId="0" xfId="0" applyAlignment="1">
      <alignment horizontal="center"/>
    </xf>
    <xf numFmtId="2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0" fillId="2" borderId="1" xfId="0" applyFill="1" applyBorder="1"/>
    <xf numFmtId="0" fontId="9" fillId="0" borderId="1" xfId="0" applyFont="1" applyBorder="1"/>
    <xf numFmtId="2" fontId="0" fillId="0" borderId="1" xfId="0" applyNumberFormat="1" applyBorder="1"/>
    <xf numFmtId="2" fontId="10" fillId="2" borderId="1" xfId="0" applyNumberFormat="1" applyFont="1" applyFill="1" applyBorder="1"/>
    <xf numFmtId="2" fontId="10" fillId="0" borderId="0" xfId="0" applyNumberFormat="1" applyFont="1"/>
    <xf numFmtId="0" fontId="0" fillId="0" borderId="14" xfId="0" applyBorder="1"/>
    <xf numFmtId="0" fontId="0" fillId="2" borderId="14" xfId="0" applyFill="1" applyBorder="1"/>
    <xf numFmtId="2" fontId="0" fillId="0" borderId="14" xfId="0" applyNumberFormat="1" applyBorder="1"/>
    <xf numFmtId="0" fontId="0" fillId="0" borderId="15" xfId="0" applyBorder="1"/>
    <xf numFmtId="2" fontId="0" fillId="0" borderId="15" xfId="0" applyNumberFormat="1" applyBorder="1"/>
    <xf numFmtId="0" fontId="1" fillId="0" borderId="0" xfId="2"/>
    <xf numFmtId="0" fontId="1" fillId="0" borderId="0" xfId="2" applyAlignment="1">
      <alignment horizontal="center"/>
    </xf>
    <xf numFmtId="16" fontId="1" fillId="0" borderId="0" xfId="2" applyNumberFormat="1"/>
    <xf numFmtId="0" fontId="1" fillId="0" borderId="21" xfId="2" applyBorder="1"/>
    <xf numFmtId="0" fontId="1" fillId="0" borderId="15" xfId="2" applyBorder="1"/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quotePrefix="1" applyBorder="1" applyAlignment="1">
      <alignment horizontal="left"/>
    </xf>
    <xf numFmtId="49" fontId="4" fillId="2" borderId="22" xfId="0" applyNumberFormat="1" applyFont="1" applyFill="1" applyBorder="1" applyAlignment="1">
      <alignment wrapText="1"/>
    </xf>
    <xf numFmtId="49" fontId="4" fillId="0" borderId="23" xfId="0" applyNumberFormat="1" applyFont="1" applyBorder="1" applyAlignment="1">
      <alignment wrapText="1"/>
    </xf>
    <xf numFmtId="0" fontId="0" fillId="0" borderId="24" xfId="0" applyBorder="1" applyAlignment="1">
      <alignment horizontal="left"/>
    </xf>
    <xf numFmtId="0" fontId="0" fillId="0" borderId="23" xfId="0" applyBorder="1"/>
    <xf numFmtId="0" fontId="0" fillId="0" borderId="24" xfId="0" applyBorder="1"/>
    <xf numFmtId="49" fontId="4" fillId="0" borderId="25" xfId="0" applyNumberFormat="1" applyFont="1" applyBorder="1" applyAlignment="1">
      <alignment wrapText="1"/>
    </xf>
    <xf numFmtId="0" fontId="0" fillId="0" borderId="26" xfId="0" applyBorder="1" applyAlignment="1">
      <alignment horizontal="left"/>
    </xf>
    <xf numFmtId="0" fontId="4" fillId="2" borderId="0" xfId="0" applyFont="1" applyFill="1" applyAlignment="1">
      <alignment horizontal="center" wrapText="1"/>
    </xf>
    <xf numFmtId="0" fontId="2" fillId="0" borderId="6" xfId="0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4" borderId="1" xfId="0" applyFill="1" applyBorder="1"/>
    <xf numFmtId="0" fontId="3" fillId="4" borderId="1" xfId="0" applyFont="1" applyFill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4" borderId="27" xfId="0" applyFill="1" applyBorder="1"/>
    <xf numFmtId="0" fontId="3" fillId="0" borderId="7" xfId="0" applyFont="1" applyBorder="1" applyAlignment="1">
      <alignment horizontal="center"/>
    </xf>
    <xf numFmtId="0" fontId="0" fillId="4" borderId="28" xfId="0" applyFill="1" applyBorder="1"/>
    <xf numFmtId="0" fontId="0" fillId="4" borderId="29" xfId="0" applyFill="1" applyBorder="1"/>
    <xf numFmtId="49" fontId="4" fillId="2" borderId="30" xfId="0" applyNumberFormat="1" applyFont="1" applyFill="1" applyBorder="1" applyAlignment="1">
      <alignment horizontal="center" wrapText="1"/>
    </xf>
    <xf numFmtId="0" fontId="11" fillId="0" borderId="0" xfId="0" applyFont="1"/>
    <xf numFmtId="0" fontId="1" fillId="5" borderId="31" xfId="2" applyFill="1" applyBorder="1" applyAlignment="1">
      <alignment horizontal="center"/>
    </xf>
    <xf numFmtId="164" fontId="1" fillId="5" borderId="32" xfId="2" applyNumberFormat="1" applyFill="1" applyBorder="1" applyAlignment="1">
      <alignment horizontal="center"/>
    </xf>
    <xf numFmtId="164" fontId="1" fillId="5" borderId="33" xfId="2" applyNumberFormat="1" applyFill="1" applyBorder="1" applyAlignment="1">
      <alignment horizontal="center"/>
    </xf>
    <xf numFmtId="0" fontId="1" fillId="5" borderId="34" xfId="2" applyFill="1" applyBorder="1" applyAlignment="1">
      <alignment horizontal="center"/>
    </xf>
    <xf numFmtId="164" fontId="1" fillId="5" borderId="0" xfId="2" applyNumberFormat="1" applyFill="1" applyAlignment="1">
      <alignment horizontal="center"/>
    </xf>
    <xf numFmtId="0" fontId="1" fillId="5" borderId="0" xfId="2" applyFill="1" applyAlignment="1">
      <alignment horizontal="center"/>
    </xf>
    <xf numFmtId="0" fontId="1" fillId="5" borderId="35" xfId="2" applyFill="1" applyBorder="1" applyAlignment="1">
      <alignment horizontal="center"/>
    </xf>
    <xf numFmtId="0" fontId="1" fillId="5" borderId="36" xfId="2" applyFill="1" applyBorder="1" applyAlignment="1">
      <alignment horizontal="center"/>
    </xf>
    <xf numFmtId="164" fontId="1" fillId="5" borderId="20" xfId="2" applyNumberFormat="1" applyFill="1" applyBorder="1" applyAlignment="1">
      <alignment horizontal="center"/>
    </xf>
    <xf numFmtId="0" fontId="1" fillId="5" borderId="20" xfId="2" applyFill="1" applyBorder="1" applyAlignment="1">
      <alignment horizontal="center"/>
    </xf>
    <xf numFmtId="0" fontId="1" fillId="5" borderId="37" xfId="2" applyFill="1" applyBorder="1" applyAlignment="1">
      <alignment horizontal="center"/>
    </xf>
    <xf numFmtId="0" fontId="1" fillId="5" borderId="38" xfId="2" applyFill="1" applyBorder="1" applyAlignment="1">
      <alignment horizontal="center"/>
    </xf>
    <xf numFmtId="164" fontId="1" fillId="5" borderId="17" xfId="2" applyNumberFormat="1" applyFill="1" applyBorder="1" applyAlignment="1">
      <alignment horizontal="center"/>
    </xf>
    <xf numFmtId="164" fontId="1" fillId="5" borderId="39" xfId="2" applyNumberFormat="1" applyFill="1" applyBorder="1" applyAlignment="1">
      <alignment horizontal="center"/>
    </xf>
    <xf numFmtId="0" fontId="1" fillId="5" borderId="40" xfId="2" applyFill="1" applyBorder="1" applyAlignment="1">
      <alignment horizontal="center"/>
    </xf>
    <xf numFmtId="164" fontId="1" fillId="5" borderId="41" xfId="2" applyNumberFormat="1" applyFill="1" applyBorder="1" applyAlignment="1">
      <alignment horizontal="center"/>
    </xf>
    <xf numFmtId="0" fontId="1" fillId="5" borderId="41" xfId="2" applyFill="1" applyBorder="1" applyAlignment="1">
      <alignment horizontal="center"/>
    </xf>
    <xf numFmtId="0" fontId="1" fillId="5" borderId="42" xfId="2" applyFill="1" applyBorder="1" applyAlignment="1">
      <alignment horizontal="center"/>
    </xf>
    <xf numFmtId="0" fontId="1" fillId="5" borderId="16" xfId="2" applyFill="1" applyBorder="1" applyAlignment="1">
      <alignment horizontal="center"/>
    </xf>
    <xf numFmtId="0" fontId="1" fillId="5" borderId="18" xfId="2" applyFill="1" applyBorder="1" applyAlignment="1">
      <alignment horizontal="center"/>
    </xf>
    <xf numFmtId="0" fontId="1" fillId="5" borderId="19" xfId="2" applyFill="1" applyBorder="1" applyAlignment="1">
      <alignment horizontal="center"/>
    </xf>
    <xf numFmtId="2" fontId="2" fillId="0" borderId="6" xfId="0" applyNumberFormat="1" applyFont="1" applyBorder="1" applyAlignment="1">
      <alignment horizontal="left"/>
    </xf>
    <xf numFmtId="0" fontId="6" fillId="2" borderId="43" xfId="0" applyFont="1" applyFill="1" applyBorder="1"/>
    <xf numFmtId="49" fontId="4" fillId="0" borderId="3" xfId="0" applyNumberFormat="1" applyFont="1" applyBorder="1" applyAlignment="1">
      <alignment wrapText="1"/>
    </xf>
    <xf numFmtId="2" fontId="2" fillId="2" borderId="4" xfId="0" applyNumberFormat="1" applyFont="1" applyFill="1" applyBorder="1" applyAlignment="1">
      <alignment horizontal="left"/>
    </xf>
    <xf numFmtId="0" fontId="6" fillId="2" borderId="7" xfId="0" applyFont="1" applyFill="1" applyBorder="1"/>
    <xf numFmtId="49" fontId="4" fillId="0" borderId="8" xfId="0" applyNumberFormat="1" applyFont="1" applyBorder="1" applyAlignment="1">
      <alignment wrapText="1"/>
    </xf>
    <xf numFmtId="0" fontId="2" fillId="2" borderId="9" xfId="0" applyFont="1" applyFill="1" applyBorder="1" applyAlignment="1">
      <alignment horizontal="left"/>
    </xf>
    <xf numFmtId="0" fontId="0" fillId="0" borderId="30" xfId="0" applyBorder="1"/>
    <xf numFmtId="49" fontId="4" fillId="0" borderId="30" xfId="0" applyNumberFormat="1" applyFont="1" applyBorder="1" applyAlignment="1">
      <alignment wrapText="1"/>
    </xf>
    <xf numFmtId="0" fontId="2" fillId="0" borderId="30" xfId="0" applyFont="1" applyBorder="1" applyAlignment="1">
      <alignment horizontal="left"/>
    </xf>
    <xf numFmtId="0" fontId="0" fillId="0" borderId="44" xfId="0" applyBorder="1"/>
    <xf numFmtId="0" fontId="2" fillId="0" borderId="44" xfId="0" applyFont="1" applyBorder="1" applyAlignment="1">
      <alignment horizontal="left"/>
    </xf>
    <xf numFmtId="0" fontId="6" fillId="2" borderId="45" xfId="0" applyFont="1" applyFill="1" applyBorder="1"/>
    <xf numFmtId="2" fontId="2" fillId="2" borderId="43" xfId="0" applyNumberFormat="1" applyFont="1" applyFill="1" applyBorder="1" applyAlignment="1">
      <alignment horizontal="left"/>
    </xf>
    <xf numFmtId="0" fontId="0" fillId="0" borderId="46" xfId="0" applyBorder="1"/>
    <xf numFmtId="2" fontId="2" fillId="0" borderId="27" xfId="0" applyNumberFormat="1" applyFont="1" applyBorder="1" applyAlignment="1">
      <alignment horizontal="left"/>
    </xf>
    <xf numFmtId="0" fontId="6" fillId="2" borderId="46" xfId="0" applyFont="1" applyFill="1" applyBorder="1"/>
    <xf numFmtId="0" fontId="2" fillId="2" borderId="27" xfId="0" applyFont="1" applyFill="1" applyBorder="1" applyAlignment="1">
      <alignment horizontal="left"/>
    </xf>
    <xf numFmtId="0" fontId="6" fillId="2" borderId="47" xfId="0" applyFont="1" applyFill="1" applyBorder="1"/>
    <xf numFmtId="49" fontId="4" fillId="0" borderId="28" xfId="0" applyNumberFormat="1" applyFont="1" applyBorder="1" applyAlignment="1">
      <alignment wrapText="1"/>
    </xf>
    <xf numFmtId="2" fontId="2" fillId="2" borderId="29" xfId="0" applyNumberFormat="1" applyFont="1" applyFill="1" applyBorder="1" applyAlignment="1">
      <alignment horizontal="left"/>
    </xf>
    <xf numFmtId="0" fontId="3" fillId="2" borderId="0" xfId="0" applyFont="1" applyFill="1"/>
    <xf numFmtId="0" fontId="12" fillId="0" borderId="1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8" fillId="0" borderId="0" xfId="1" applyAlignment="1">
      <alignment horizontal="center"/>
    </xf>
    <xf numFmtId="49" fontId="12" fillId="6" borderId="30" xfId="1" applyNumberFormat="1" applyFont="1" applyFill="1" applyBorder="1" applyAlignment="1">
      <alignment horizontal="center" wrapText="1"/>
    </xf>
    <xf numFmtId="49" fontId="13" fillId="6" borderId="30" xfId="1" applyNumberFormat="1" applyFont="1" applyFill="1" applyBorder="1" applyAlignment="1">
      <alignment horizontal="center" wrapText="1"/>
    </xf>
    <xf numFmtId="0" fontId="8" fillId="0" borderId="2" xfId="1" applyBorder="1" applyAlignment="1">
      <alignment horizontal="center"/>
    </xf>
    <xf numFmtId="0" fontId="8" fillId="7" borderId="3" xfId="1" applyFill="1" applyBorder="1" applyAlignment="1">
      <alignment horizontal="center"/>
    </xf>
    <xf numFmtId="0" fontId="8" fillId="0" borderId="3" xfId="1" applyBorder="1" applyAlignment="1">
      <alignment horizontal="center"/>
    </xf>
    <xf numFmtId="0" fontId="8" fillId="0" borderId="48" xfId="1" applyBorder="1" applyAlignment="1">
      <alignment horizontal="center"/>
    </xf>
    <xf numFmtId="0" fontId="14" fillId="0" borderId="48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5" xfId="1" applyBorder="1" applyAlignment="1">
      <alignment horizontal="center"/>
    </xf>
    <xf numFmtId="0" fontId="15" fillId="6" borderId="1" xfId="1" applyFont="1" applyFill="1" applyBorder="1" applyAlignment="1">
      <alignment horizontal="center"/>
    </xf>
    <xf numFmtId="0" fontId="8" fillId="8" borderId="0" xfId="1" applyFill="1" applyAlignment="1">
      <alignment horizontal="center"/>
    </xf>
    <xf numFmtId="0" fontId="16" fillId="0" borderId="18" xfId="1" applyFont="1" applyBorder="1" applyAlignment="1">
      <alignment horizontal="center"/>
    </xf>
    <xf numFmtId="0" fontId="17" fillId="9" borderId="0" xfId="1" applyFont="1" applyFill="1" applyAlignment="1">
      <alignment horizontal="center"/>
    </xf>
    <xf numFmtId="0" fontId="18" fillId="0" borderId="1" xfId="1" applyFont="1" applyBorder="1" applyAlignment="1">
      <alignment horizontal="center"/>
    </xf>
    <xf numFmtId="0" fontId="19" fillId="0" borderId="44" xfId="1" applyFont="1" applyBorder="1" applyAlignment="1">
      <alignment horizontal="center" vertical="center"/>
    </xf>
    <xf numFmtId="0" fontId="17" fillId="10" borderId="0" xfId="1" applyFont="1" applyFill="1" applyAlignment="1">
      <alignment horizontal="center"/>
    </xf>
    <xf numFmtId="0" fontId="19" fillId="0" borderId="1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7" fillId="11" borderId="20" xfId="1" applyFont="1" applyFill="1" applyBorder="1" applyAlignment="1">
      <alignment horizontal="center"/>
    </xf>
    <xf numFmtId="0" fontId="8" fillId="10" borderId="1" xfId="1" applyFill="1" applyBorder="1" applyAlignment="1">
      <alignment horizontal="center"/>
    </xf>
    <xf numFmtId="0" fontId="17" fillId="12" borderId="0" xfId="1" applyFont="1" applyFill="1" applyAlignment="1">
      <alignment horizontal="center"/>
    </xf>
    <xf numFmtId="0" fontId="8" fillId="10" borderId="28" xfId="1" applyFill="1" applyBorder="1" applyAlignment="1">
      <alignment horizontal="center"/>
    </xf>
    <xf numFmtId="0" fontId="21" fillId="9" borderId="0" xfId="1" applyFont="1" applyFill="1" applyAlignment="1">
      <alignment horizontal="center"/>
    </xf>
    <xf numFmtId="0" fontId="22" fillId="0" borderId="43" xfId="1" applyFont="1" applyBorder="1" applyAlignment="1">
      <alignment horizontal="center" vertical="center"/>
    </xf>
    <xf numFmtId="0" fontId="21" fillId="10" borderId="0" xfId="1" applyFont="1" applyFill="1" applyAlignment="1">
      <alignment horizontal="center"/>
    </xf>
    <xf numFmtId="0" fontId="21" fillId="12" borderId="0" xfId="1" applyFont="1" applyFill="1" applyAlignment="1">
      <alignment horizontal="center"/>
    </xf>
    <xf numFmtId="0" fontId="21" fillId="13" borderId="8" xfId="1" applyFont="1" applyFill="1" applyBorder="1" applyAlignment="1">
      <alignment horizontal="center"/>
    </xf>
    <xf numFmtId="0" fontId="8" fillId="0" borderId="49" xfId="1" applyBorder="1" applyAlignment="1">
      <alignment horizontal="center"/>
    </xf>
    <xf numFmtId="0" fontId="19" fillId="0" borderId="43" xfId="1" applyFont="1" applyBorder="1" applyAlignment="1">
      <alignment horizontal="center" vertical="center"/>
    </xf>
    <xf numFmtId="0" fontId="17" fillId="9" borderId="3" xfId="1" applyFont="1" applyFill="1" applyBorder="1" applyAlignment="1">
      <alignment horizontal="center"/>
    </xf>
    <xf numFmtId="0" fontId="17" fillId="11" borderId="8" xfId="1" applyFont="1" applyFill="1" applyBorder="1" applyAlignment="1">
      <alignment horizontal="center"/>
    </xf>
    <xf numFmtId="0" fontId="8" fillId="0" borderId="30" xfId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8" fillId="0" borderId="8" xfId="1" applyBorder="1" applyAlignment="1">
      <alignment horizontal="center"/>
    </xf>
    <xf numFmtId="0" fontId="12" fillId="0" borderId="28" xfId="1" applyFont="1" applyBorder="1" applyAlignment="1">
      <alignment horizontal="center"/>
    </xf>
    <xf numFmtId="49" fontId="12" fillId="6" borderId="1" xfId="1" applyNumberFormat="1" applyFont="1" applyFill="1" applyBorder="1" applyAlignment="1">
      <alignment horizontal="center" wrapText="1"/>
    </xf>
    <xf numFmtId="0" fontId="16" fillId="0" borderId="2" xfId="1" applyFont="1" applyBorder="1"/>
    <xf numFmtId="0" fontId="17" fillId="9" borderId="3" xfId="1" applyFont="1" applyFill="1" applyBorder="1"/>
    <xf numFmtId="0" fontId="8" fillId="14" borderId="48" xfId="1" applyFill="1" applyBorder="1" applyAlignment="1">
      <alignment horizontal="center"/>
    </xf>
    <xf numFmtId="0" fontId="16" fillId="0" borderId="5" xfId="1" applyFont="1" applyBorder="1"/>
    <xf numFmtId="0" fontId="17" fillId="15" borderId="0" xfId="1" applyFont="1" applyFill="1"/>
    <xf numFmtId="0" fontId="16" fillId="0" borderId="7" xfId="1" applyFont="1" applyBorder="1"/>
    <xf numFmtId="0" fontId="17" fillId="11" borderId="8" xfId="1" applyFont="1" applyFill="1" applyBorder="1"/>
    <xf numFmtId="0" fontId="19" fillId="0" borderId="50" xfId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0" fillId="4" borderId="28" xfId="0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24" fillId="2" borderId="14" xfId="0" applyFont="1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6156-BC87-42B4-97FE-A1DFCC81F149}">
  <sheetPr>
    <pageSetUpPr fitToPage="1"/>
  </sheetPr>
  <dimension ref="A1:AC101"/>
  <sheetViews>
    <sheetView tabSelected="1" zoomScale="76" zoomScaleNormal="76" workbookViewId="0">
      <selection activeCell="A33" sqref="A33"/>
    </sheetView>
  </sheetViews>
  <sheetFormatPr baseColWidth="10" defaultColWidth="12" defaultRowHeight="15" x14ac:dyDescent="0.2"/>
  <cols>
    <col min="1" max="1" width="24.83203125" style="37" customWidth="1"/>
    <col min="2" max="2" width="9.1640625" style="37"/>
    <col min="3" max="3" width="38.6640625" style="37" customWidth="1"/>
    <col min="4" max="4" width="19.5" style="37" customWidth="1"/>
    <col min="5" max="6" width="9.1640625" style="37"/>
    <col min="7" max="7" width="29" style="37" customWidth="1"/>
    <col min="8" max="10" width="9.1640625" style="37"/>
    <col min="11" max="11" width="17.5" style="37" customWidth="1"/>
    <col min="12" max="12" width="26.5" style="37" customWidth="1"/>
    <col min="13" max="13" width="22.33203125" style="37" customWidth="1"/>
    <col min="14" max="14" width="22.5" style="37" customWidth="1"/>
    <col min="15" max="16384" width="12" style="37"/>
  </cols>
  <sheetData>
    <row r="1" spans="1:29" ht="16" x14ac:dyDescent="0.2">
      <c r="A1" s="127" t="s">
        <v>0</v>
      </c>
      <c r="C1" s="128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29" ht="48.75" customHeight="1" x14ac:dyDescent="0.25">
      <c r="A2" s="37" t="s">
        <v>1</v>
      </c>
      <c r="B2" s="130" t="s">
        <v>2</v>
      </c>
      <c r="C2" s="130" t="s">
        <v>3</v>
      </c>
      <c r="D2" s="130" t="s">
        <v>4</v>
      </c>
      <c r="E2" s="130"/>
      <c r="F2" s="130" t="s">
        <v>5</v>
      </c>
      <c r="G2" s="131" t="s">
        <v>6</v>
      </c>
      <c r="H2" s="130" t="s">
        <v>7</v>
      </c>
      <c r="I2" s="130" t="s">
        <v>8</v>
      </c>
      <c r="J2" s="130" t="s">
        <v>9</v>
      </c>
      <c r="K2" s="130" t="s">
        <v>10</v>
      </c>
      <c r="L2" s="82" t="s">
        <v>11</v>
      </c>
      <c r="M2" s="185" t="s">
        <v>12</v>
      </c>
      <c r="N2" s="185" t="s">
        <v>13</v>
      </c>
      <c r="O2" s="168"/>
      <c r="P2" s="168"/>
      <c r="Q2" s="168"/>
    </row>
    <row r="3" spans="1:29" ht="16" x14ac:dyDescent="0.2">
      <c r="A3" s="37">
        <v>1</v>
      </c>
      <c r="B3" s="132">
        <v>19</v>
      </c>
      <c r="C3" s="133" t="s">
        <v>14</v>
      </c>
      <c r="D3" s="134" t="s">
        <v>885</v>
      </c>
      <c r="E3" s="127" t="s">
        <v>15</v>
      </c>
      <c r="F3" s="127" t="s">
        <v>15</v>
      </c>
      <c r="G3" s="135" t="s">
        <v>16</v>
      </c>
      <c r="H3" s="136" t="s">
        <v>17</v>
      </c>
      <c r="I3" s="137"/>
      <c r="J3" s="138"/>
      <c r="K3" s="37" t="s">
        <v>18</v>
      </c>
      <c r="L3" s="73">
        <v>97</v>
      </c>
      <c r="M3" s="179" t="s">
        <v>19</v>
      </c>
      <c r="N3" s="180" t="s">
        <v>20</v>
      </c>
    </row>
    <row r="4" spans="1:29" ht="16" x14ac:dyDescent="0.2">
      <c r="A4" s="37">
        <v>2</v>
      </c>
      <c r="B4" s="139">
        <v>20</v>
      </c>
      <c r="C4" s="129" t="s">
        <v>21</v>
      </c>
      <c r="D4" s="129" t="s">
        <v>887</v>
      </c>
      <c r="E4" s="127" t="s">
        <v>15</v>
      </c>
      <c r="F4" s="138"/>
      <c r="G4" s="135" t="s">
        <v>16</v>
      </c>
      <c r="H4" s="136" t="s">
        <v>17</v>
      </c>
      <c r="I4" s="137"/>
      <c r="J4" s="138"/>
      <c r="K4" s="37" t="s">
        <v>18</v>
      </c>
      <c r="L4" s="73">
        <v>1</v>
      </c>
      <c r="M4" s="179" t="s">
        <v>22</v>
      </c>
      <c r="N4" s="180" t="s">
        <v>23</v>
      </c>
    </row>
    <row r="5" spans="1:29" ht="16" x14ac:dyDescent="0.2">
      <c r="A5" s="37">
        <v>3</v>
      </c>
      <c r="B5" s="139">
        <v>21</v>
      </c>
      <c r="C5" s="129" t="s">
        <v>24</v>
      </c>
      <c r="D5" s="129" t="s">
        <v>887</v>
      </c>
      <c r="E5" s="127" t="s">
        <v>15</v>
      </c>
      <c r="F5" s="127" t="s">
        <v>15</v>
      </c>
      <c r="G5" s="135" t="s">
        <v>16</v>
      </c>
      <c r="H5" s="136" t="s">
        <v>17</v>
      </c>
      <c r="I5" s="137"/>
      <c r="J5" s="138"/>
      <c r="K5" s="37" t="s">
        <v>18</v>
      </c>
      <c r="L5" s="73">
        <v>2</v>
      </c>
      <c r="M5" s="179" t="s">
        <v>25</v>
      </c>
      <c r="N5" s="180" t="s">
        <v>26</v>
      </c>
    </row>
    <row r="6" spans="1:29" ht="16" x14ac:dyDescent="0.2">
      <c r="A6" s="37">
        <v>4</v>
      </c>
      <c r="B6" s="139">
        <v>22</v>
      </c>
      <c r="C6" s="129" t="s">
        <v>27</v>
      </c>
      <c r="D6" s="129" t="s">
        <v>887</v>
      </c>
      <c r="E6" s="127" t="s">
        <v>15</v>
      </c>
      <c r="F6" s="127"/>
      <c r="G6" s="135" t="s">
        <v>16</v>
      </c>
      <c r="H6" s="136" t="s">
        <v>17</v>
      </c>
      <c r="I6" s="137"/>
      <c r="J6" s="138"/>
      <c r="K6" s="37" t="s">
        <v>18</v>
      </c>
      <c r="L6" s="73">
        <v>3</v>
      </c>
      <c r="M6" s="179" t="s">
        <v>28</v>
      </c>
      <c r="N6" s="180" t="s">
        <v>29</v>
      </c>
    </row>
    <row r="7" spans="1:29" ht="16" x14ac:dyDescent="0.2">
      <c r="A7" s="37">
        <v>5</v>
      </c>
      <c r="B7" s="139">
        <v>23</v>
      </c>
      <c r="C7" s="129" t="s">
        <v>30</v>
      </c>
      <c r="D7" s="129" t="s">
        <v>887</v>
      </c>
      <c r="E7" s="127" t="s">
        <v>15</v>
      </c>
      <c r="F7" s="127"/>
      <c r="G7" s="135" t="s">
        <v>16</v>
      </c>
      <c r="H7" s="136" t="s">
        <v>17</v>
      </c>
      <c r="I7" s="137"/>
      <c r="J7" s="138"/>
      <c r="K7" s="37" t="s">
        <v>18</v>
      </c>
      <c r="L7" s="73">
        <v>4</v>
      </c>
      <c r="M7" s="179" t="s">
        <v>31</v>
      </c>
      <c r="N7" s="180" t="s">
        <v>32</v>
      </c>
    </row>
    <row r="8" spans="1:29" ht="16" x14ac:dyDescent="0.2">
      <c r="A8" s="37">
        <v>6</v>
      </c>
      <c r="B8" s="139">
        <v>24</v>
      </c>
      <c r="C8" s="129" t="s">
        <v>33</v>
      </c>
      <c r="D8" s="129" t="s">
        <v>887</v>
      </c>
      <c r="E8" s="127" t="s">
        <v>15</v>
      </c>
      <c r="F8" s="127" t="s">
        <v>15</v>
      </c>
      <c r="G8" s="135" t="s">
        <v>16</v>
      </c>
      <c r="H8" s="136" t="s">
        <v>17</v>
      </c>
      <c r="I8" s="137"/>
      <c r="J8" s="138"/>
      <c r="K8" s="37" t="s">
        <v>18</v>
      </c>
      <c r="L8" s="73">
        <v>5</v>
      </c>
      <c r="M8" s="179" t="s">
        <v>34</v>
      </c>
      <c r="N8" s="180" t="s">
        <v>35</v>
      </c>
    </row>
    <row r="9" spans="1:29" ht="16" x14ac:dyDescent="0.2">
      <c r="A9" s="37">
        <v>7</v>
      </c>
      <c r="B9" s="139">
        <v>25</v>
      </c>
      <c r="C9" s="129" t="s">
        <v>36</v>
      </c>
      <c r="D9" s="129" t="s">
        <v>887</v>
      </c>
      <c r="E9" s="127" t="s">
        <v>15</v>
      </c>
      <c r="F9" s="140" t="s">
        <v>37</v>
      </c>
      <c r="G9" s="135" t="s">
        <v>16</v>
      </c>
      <c r="H9" s="136" t="s">
        <v>17</v>
      </c>
      <c r="I9" s="137"/>
      <c r="J9" s="138"/>
      <c r="K9" s="37" t="s">
        <v>18</v>
      </c>
      <c r="L9" s="73">
        <v>6</v>
      </c>
      <c r="M9" s="179" t="s">
        <v>38</v>
      </c>
      <c r="N9" s="180" t="s">
        <v>39</v>
      </c>
      <c r="P9" s="11" t="s">
        <v>40</v>
      </c>
      <c r="Q9" s="75">
        <v>1</v>
      </c>
      <c r="R9" s="75">
        <v>2</v>
      </c>
      <c r="S9" s="75">
        <v>3</v>
      </c>
      <c r="T9" s="75">
        <v>4</v>
      </c>
      <c r="U9" s="75">
        <v>5</v>
      </c>
      <c r="V9" s="75">
        <v>6</v>
      </c>
      <c r="W9" s="75">
        <v>7</v>
      </c>
      <c r="X9" s="75">
        <v>8</v>
      </c>
      <c r="Y9" s="75">
        <v>9</v>
      </c>
      <c r="Z9" s="75">
        <v>10</v>
      </c>
      <c r="AA9" s="75">
        <v>11</v>
      </c>
      <c r="AB9" s="76">
        <v>12</v>
      </c>
      <c r="AC9"/>
    </row>
    <row r="10" spans="1:29" ht="16" x14ac:dyDescent="0.2">
      <c r="A10" s="37">
        <v>8</v>
      </c>
      <c r="B10" s="139">
        <v>26</v>
      </c>
      <c r="C10" s="129" t="s">
        <v>41</v>
      </c>
      <c r="D10" s="129" t="s">
        <v>887</v>
      </c>
      <c r="E10" s="127" t="s">
        <v>15</v>
      </c>
      <c r="F10" s="127" t="s">
        <v>15</v>
      </c>
      <c r="G10" s="135" t="s">
        <v>16</v>
      </c>
      <c r="H10" s="136" t="s">
        <v>17</v>
      </c>
      <c r="I10" s="137"/>
      <c r="J10" s="138"/>
      <c r="K10" s="37" t="s">
        <v>18</v>
      </c>
      <c r="L10" s="73">
        <v>7</v>
      </c>
      <c r="M10" s="179" t="s">
        <v>42</v>
      </c>
      <c r="N10" s="180" t="s">
        <v>43</v>
      </c>
      <c r="P10" s="77" t="s">
        <v>30</v>
      </c>
      <c r="Q10" s="73">
        <v>1</v>
      </c>
      <c r="R10" s="73">
        <v>9</v>
      </c>
      <c r="S10" s="73">
        <v>17</v>
      </c>
      <c r="T10" s="73">
        <v>25</v>
      </c>
      <c r="U10" s="73">
        <v>33</v>
      </c>
      <c r="V10" s="73">
        <v>41</v>
      </c>
      <c r="W10" s="73">
        <v>49</v>
      </c>
      <c r="X10" s="73">
        <v>57</v>
      </c>
      <c r="Y10" s="73">
        <v>65</v>
      </c>
      <c r="Z10" s="73">
        <v>73</v>
      </c>
      <c r="AA10" s="74">
        <v>81</v>
      </c>
      <c r="AB10" s="78">
        <v>89</v>
      </c>
      <c r="AC10"/>
    </row>
    <row r="11" spans="1:29" ht="16" x14ac:dyDescent="0.2">
      <c r="A11" s="37">
        <v>9</v>
      </c>
      <c r="B11" s="132">
        <v>27</v>
      </c>
      <c r="C11" s="141" t="s">
        <v>44</v>
      </c>
      <c r="D11" s="129" t="s">
        <v>890</v>
      </c>
      <c r="E11" s="127" t="s">
        <v>15</v>
      </c>
      <c r="F11" s="127" t="s">
        <v>15</v>
      </c>
      <c r="G11" s="135" t="s">
        <v>16</v>
      </c>
      <c r="H11" s="136" t="s">
        <v>17</v>
      </c>
      <c r="I11" s="137"/>
      <c r="J11" s="138"/>
      <c r="K11" s="37" t="s">
        <v>18</v>
      </c>
      <c r="L11" s="80">
        <v>8</v>
      </c>
      <c r="M11" s="179" t="s">
        <v>45</v>
      </c>
      <c r="N11" s="180" t="s">
        <v>46</v>
      </c>
      <c r="P11" s="77" t="s">
        <v>47</v>
      </c>
      <c r="Q11" s="73">
        <v>2</v>
      </c>
      <c r="R11" s="73">
        <v>10</v>
      </c>
      <c r="S11" s="73">
        <v>18</v>
      </c>
      <c r="T11" s="73">
        <v>26</v>
      </c>
      <c r="U11" s="73">
        <v>34</v>
      </c>
      <c r="V11" s="73">
        <v>42</v>
      </c>
      <c r="W11" s="73">
        <v>50</v>
      </c>
      <c r="X11" s="73">
        <v>58</v>
      </c>
      <c r="Y11" s="73">
        <v>66</v>
      </c>
      <c r="Z11" s="73">
        <v>74</v>
      </c>
      <c r="AA11" s="73">
        <v>82</v>
      </c>
      <c r="AB11" s="78">
        <v>90</v>
      </c>
      <c r="AC11"/>
    </row>
    <row r="12" spans="1:29" ht="19" x14ac:dyDescent="0.25">
      <c r="A12" s="37">
        <v>10</v>
      </c>
      <c r="B12" s="142">
        <v>10</v>
      </c>
      <c r="C12" s="143" t="s">
        <v>48</v>
      </c>
      <c r="D12" s="129" t="s">
        <v>885</v>
      </c>
      <c r="E12" s="144" t="s">
        <v>37</v>
      </c>
      <c r="F12" s="144" t="s">
        <v>37</v>
      </c>
      <c r="G12" s="135" t="s">
        <v>16</v>
      </c>
      <c r="H12" s="145" t="s">
        <v>49</v>
      </c>
      <c r="I12" s="137"/>
      <c r="J12" s="138"/>
      <c r="K12" s="37" t="s">
        <v>18</v>
      </c>
      <c r="L12" s="73">
        <v>98</v>
      </c>
      <c r="M12" s="179" t="s">
        <v>50</v>
      </c>
      <c r="N12" s="180" t="s">
        <v>51</v>
      </c>
      <c r="P12" s="77" t="s">
        <v>52</v>
      </c>
      <c r="Q12" s="73">
        <v>3</v>
      </c>
      <c r="R12" s="73">
        <v>11</v>
      </c>
      <c r="S12" s="73">
        <v>19</v>
      </c>
      <c r="T12" s="73">
        <v>27</v>
      </c>
      <c r="U12" s="73">
        <v>35</v>
      </c>
      <c r="V12" s="73">
        <v>43</v>
      </c>
      <c r="W12" s="73">
        <v>51</v>
      </c>
      <c r="X12" s="73">
        <v>59</v>
      </c>
      <c r="Y12" s="73">
        <v>67</v>
      </c>
      <c r="Z12" s="73">
        <v>75</v>
      </c>
      <c r="AA12" s="74">
        <v>83</v>
      </c>
      <c r="AB12" s="78">
        <v>91</v>
      </c>
      <c r="AC12"/>
    </row>
    <row r="13" spans="1:29" ht="19" x14ac:dyDescent="0.25">
      <c r="A13" s="37">
        <v>11</v>
      </c>
      <c r="B13" s="142">
        <v>11</v>
      </c>
      <c r="C13" s="146" t="s">
        <v>21</v>
      </c>
      <c r="D13" s="129" t="s">
        <v>887</v>
      </c>
      <c r="E13" s="144"/>
      <c r="F13" s="144"/>
      <c r="G13" s="135" t="s">
        <v>16</v>
      </c>
      <c r="H13" s="147" t="s">
        <v>49</v>
      </c>
      <c r="I13" s="137"/>
      <c r="J13" s="138"/>
      <c r="K13" s="37" t="s">
        <v>18</v>
      </c>
      <c r="L13" s="73">
        <v>9</v>
      </c>
      <c r="M13" s="179" t="s">
        <v>53</v>
      </c>
      <c r="N13" s="180" t="s">
        <v>54</v>
      </c>
      <c r="P13" s="77" t="s">
        <v>55</v>
      </c>
      <c r="Q13" s="73">
        <v>4</v>
      </c>
      <c r="R13" s="73">
        <v>12</v>
      </c>
      <c r="S13" s="73">
        <v>20</v>
      </c>
      <c r="T13" s="73">
        <v>28</v>
      </c>
      <c r="U13" s="73">
        <v>36</v>
      </c>
      <c r="V13" s="73">
        <v>44</v>
      </c>
      <c r="W13" s="73">
        <v>52</v>
      </c>
      <c r="X13" s="73">
        <v>60</v>
      </c>
      <c r="Y13" s="73">
        <v>68</v>
      </c>
      <c r="Z13" s="73">
        <v>76</v>
      </c>
      <c r="AA13" s="73">
        <v>84</v>
      </c>
      <c r="AB13" s="78">
        <v>92</v>
      </c>
      <c r="AC13"/>
    </row>
    <row r="14" spans="1:29" ht="19" x14ac:dyDescent="0.25">
      <c r="A14" s="37">
        <v>12</v>
      </c>
      <c r="B14" s="142">
        <v>12</v>
      </c>
      <c r="C14" s="146" t="s">
        <v>56</v>
      </c>
      <c r="D14" s="129" t="s">
        <v>887</v>
      </c>
      <c r="E14" s="144" t="s">
        <v>37</v>
      </c>
      <c r="F14" s="144" t="s">
        <v>37</v>
      </c>
      <c r="G14" s="135" t="s">
        <v>16</v>
      </c>
      <c r="H14" s="147" t="s">
        <v>49</v>
      </c>
      <c r="I14" s="137"/>
      <c r="J14" s="138"/>
      <c r="K14" s="37" t="s">
        <v>18</v>
      </c>
      <c r="L14" s="73">
        <v>10</v>
      </c>
      <c r="M14" s="179" t="s">
        <v>57</v>
      </c>
      <c r="N14" s="180" t="s">
        <v>58</v>
      </c>
      <c r="P14" s="77" t="s">
        <v>59</v>
      </c>
      <c r="Q14" s="73">
        <v>5</v>
      </c>
      <c r="R14" s="73">
        <v>13</v>
      </c>
      <c r="S14" s="73">
        <v>21</v>
      </c>
      <c r="T14" s="73">
        <v>29</v>
      </c>
      <c r="U14" s="73">
        <v>37</v>
      </c>
      <c r="V14" s="73">
        <v>45</v>
      </c>
      <c r="W14" s="73">
        <v>53</v>
      </c>
      <c r="X14" s="73">
        <v>61</v>
      </c>
      <c r="Y14" s="73">
        <v>69</v>
      </c>
      <c r="Z14" s="73">
        <v>77</v>
      </c>
      <c r="AA14" s="74">
        <v>85</v>
      </c>
      <c r="AB14" s="78">
        <v>93</v>
      </c>
      <c r="AC14"/>
    </row>
    <row r="15" spans="1:29" ht="19" x14ac:dyDescent="0.25">
      <c r="A15" s="37">
        <v>13</v>
      </c>
      <c r="B15" s="142">
        <v>13</v>
      </c>
      <c r="C15" s="146" t="s">
        <v>27</v>
      </c>
      <c r="D15" s="129" t="s">
        <v>887</v>
      </c>
      <c r="E15" s="148"/>
      <c r="F15" s="148"/>
      <c r="G15" s="135" t="s">
        <v>16</v>
      </c>
      <c r="H15" s="147" t="s">
        <v>49</v>
      </c>
      <c r="I15" s="137"/>
      <c r="J15" s="138"/>
      <c r="K15" s="37" t="s">
        <v>18</v>
      </c>
      <c r="L15" s="73">
        <v>11</v>
      </c>
      <c r="M15" s="179" t="s">
        <v>60</v>
      </c>
      <c r="N15" s="180" t="s">
        <v>61</v>
      </c>
      <c r="P15" s="77" t="s">
        <v>62</v>
      </c>
      <c r="Q15" s="73">
        <v>6</v>
      </c>
      <c r="R15" s="73">
        <v>14</v>
      </c>
      <c r="S15" s="73">
        <v>22</v>
      </c>
      <c r="T15" s="73">
        <v>30</v>
      </c>
      <c r="U15" s="73">
        <v>38</v>
      </c>
      <c r="V15" s="73">
        <v>46</v>
      </c>
      <c r="W15" s="73">
        <v>54</v>
      </c>
      <c r="X15" s="73">
        <v>62</v>
      </c>
      <c r="Y15" s="73">
        <v>70</v>
      </c>
      <c r="Z15" s="73">
        <v>78</v>
      </c>
      <c r="AA15" s="73">
        <v>86</v>
      </c>
      <c r="AB15" s="78">
        <v>94</v>
      </c>
      <c r="AC15"/>
    </row>
    <row r="16" spans="1:29" ht="19" x14ac:dyDescent="0.25">
      <c r="A16" s="37">
        <v>14</v>
      </c>
      <c r="B16" s="142">
        <v>15</v>
      </c>
      <c r="C16" s="146" t="s">
        <v>33</v>
      </c>
      <c r="D16" s="129" t="s">
        <v>887</v>
      </c>
      <c r="E16" s="149"/>
      <c r="F16" s="149"/>
      <c r="G16" s="135" t="s">
        <v>16</v>
      </c>
      <c r="H16" s="147" t="s">
        <v>49</v>
      </c>
      <c r="I16" s="137"/>
      <c r="J16" s="138"/>
      <c r="K16" s="37" t="s">
        <v>18</v>
      </c>
      <c r="L16" s="73">
        <v>12</v>
      </c>
      <c r="M16" s="179" t="s">
        <v>63</v>
      </c>
      <c r="N16" s="180" t="s">
        <v>64</v>
      </c>
      <c r="P16" s="77" t="s">
        <v>65</v>
      </c>
      <c r="Q16" s="73">
        <v>7</v>
      </c>
      <c r="R16" s="73">
        <v>15</v>
      </c>
      <c r="S16" s="73">
        <v>23</v>
      </c>
      <c r="T16" s="73">
        <v>31</v>
      </c>
      <c r="U16" s="73">
        <v>39</v>
      </c>
      <c r="V16" s="73">
        <v>47</v>
      </c>
      <c r="W16" s="73">
        <v>55</v>
      </c>
      <c r="X16" s="73">
        <v>63</v>
      </c>
      <c r="Y16" s="73">
        <v>71</v>
      </c>
      <c r="Z16" s="73">
        <v>79</v>
      </c>
      <c r="AA16" s="74">
        <v>87</v>
      </c>
      <c r="AB16" s="78">
        <v>95</v>
      </c>
      <c r="AC16"/>
    </row>
    <row r="17" spans="1:29" ht="19" x14ac:dyDescent="0.25">
      <c r="A17" s="37">
        <v>15</v>
      </c>
      <c r="B17" s="142">
        <v>16</v>
      </c>
      <c r="C17" s="146" t="s">
        <v>36</v>
      </c>
      <c r="D17" s="129" t="s">
        <v>887</v>
      </c>
      <c r="E17" s="144" t="s">
        <v>37</v>
      </c>
      <c r="F17" s="144" t="s">
        <v>37</v>
      </c>
      <c r="G17" s="135" t="s">
        <v>16</v>
      </c>
      <c r="H17" s="147" t="s">
        <v>49</v>
      </c>
      <c r="I17" s="137"/>
      <c r="J17" s="138"/>
      <c r="K17" s="37" t="s">
        <v>18</v>
      </c>
      <c r="L17" s="73">
        <v>13</v>
      </c>
      <c r="M17" s="179" t="s">
        <v>66</v>
      </c>
      <c r="N17" s="180" t="s">
        <v>67</v>
      </c>
      <c r="P17" s="79" t="s">
        <v>68</v>
      </c>
      <c r="Q17" s="80">
        <v>8</v>
      </c>
      <c r="R17" s="80">
        <v>16</v>
      </c>
      <c r="S17" s="80">
        <v>24</v>
      </c>
      <c r="T17" s="80">
        <v>32</v>
      </c>
      <c r="U17" s="80">
        <v>40</v>
      </c>
      <c r="V17" s="80">
        <v>48</v>
      </c>
      <c r="W17" s="80">
        <v>56</v>
      </c>
      <c r="X17" s="80">
        <v>64</v>
      </c>
      <c r="Y17" s="80">
        <v>72</v>
      </c>
      <c r="Z17" s="80">
        <v>80</v>
      </c>
      <c r="AA17" s="80">
        <v>88</v>
      </c>
      <c r="AB17" s="81">
        <v>96</v>
      </c>
      <c r="AC17"/>
    </row>
    <row r="18" spans="1:29" ht="19" x14ac:dyDescent="0.25">
      <c r="A18" s="37">
        <v>16</v>
      </c>
      <c r="B18" s="142">
        <v>17</v>
      </c>
      <c r="C18" s="146" t="s">
        <v>41</v>
      </c>
      <c r="D18" s="129" t="s">
        <v>887</v>
      </c>
      <c r="E18" s="144"/>
      <c r="F18" s="144"/>
      <c r="G18" s="135" t="s">
        <v>16</v>
      </c>
      <c r="H18" s="147" t="s">
        <v>49</v>
      </c>
      <c r="I18" s="137"/>
      <c r="J18" s="138"/>
      <c r="K18" s="37" t="s">
        <v>18</v>
      </c>
      <c r="L18" s="73">
        <v>14</v>
      </c>
      <c r="M18" s="179" t="s">
        <v>69</v>
      </c>
      <c r="N18" s="180" t="s">
        <v>70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9" x14ac:dyDescent="0.25">
      <c r="A19" s="37">
        <v>17</v>
      </c>
      <c r="B19" s="150">
        <v>18</v>
      </c>
      <c r="C19" s="151" t="s">
        <v>71</v>
      </c>
      <c r="D19" s="129" t="s">
        <v>890</v>
      </c>
      <c r="E19" s="144" t="s">
        <v>37</v>
      </c>
      <c r="F19" s="144" t="s">
        <v>37</v>
      </c>
      <c r="G19" s="135" t="s">
        <v>16</v>
      </c>
      <c r="H19" s="147" t="s">
        <v>49</v>
      </c>
      <c r="K19" s="37" t="s">
        <v>18</v>
      </c>
      <c r="L19" s="73">
        <v>15</v>
      </c>
      <c r="M19" s="179" t="s">
        <v>72</v>
      </c>
      <c r="N19" s="180" t="s">
        <v>73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19" x14ac:dyDescent="0.25">
      <c r="A20" s="37">
        <v>18</v>
      </c>
      <c r="B20" s="169">
        <v>1</v>
      </c>
      <c r="C20" s="170" t="s">
        <v>48</v>
      </c>
      <c r="D20" s="129" t="s">
        <v>885</v>
      </c>
      <c r="E20" s="144" t="s">
        <v>37</v>
      </c>
      <c r="F20" s="144" t="s">
        <v>37</v>
      </c>
      <c r="G20" s="171" t="s">
        <v>16</v>
      </c>
      <c r="H20" s="161" t="s">
        <v>74</v>
      </c>
      <c r="I20" s="137"/>
      <c r="J20" s="152"/>
      <c r="K20" s="37" t="s">
        <v>18</v>
      </c>
      <c r="L20" s="73">
        <v>99</v>
      </c>
      <c r="M20" s="179" t="s">
        <v>75</v>
      </c>
      <c r="N20" s="180" t="s">
        <v>76</v>
      </c>
      <c r="P20" s="11" t="s">
        <v>77</v>
      </c>
      <c r="Q20" s="75">
        <v>1</v>
      </c>
      <c r="R20" s="75">
        <v>2</v>
      </c>
      <c r="S20" s="75">
        <v>3</v>
      </c>
      <c r="T20" s="75">
        <v>4</v>
      </c>
      <c r="U20" s="75">
        <v>5</v>
      </c>
      <c r="V20" s="75">
        <v>6</v>
      </c>
      <c r="W20" s="75">
        <v>7</v>
      </c>
      <c r="X20" s="75">
        <v>8</v>
      </c>
      <c r="Y20" s="75">
        <v>9</v>
      </c>
      <c r="Z20" s="75">
        <v>10</v>
      </c>
      <c r="AA20" s="75">
        <v>11</v>
      </c>
      <c r="AB20" s="76">
        <v>12</v>
      </c>
      <c r="AC20"/>
    </row>
    <row r="21" spans="1:29" ht="19" x14ac:dyDescent="0.25">
      <c r="A21" s="37">
        <v>19</v>
      </c>
      <c r="B21" s="172">
        <v>2</v>
      </c>
      <c r="C21" s="173" t="s">
        <v>21</v>
      </c>
      <c r="D21" s="129" t="s">
        <v>887</v>
      </c>
      <c r="E21" s="144"/>
      <c r="F21" s="144"/>
      <c r="G21" s="171" t="s">
        <v>16</v>
      </c>
      <c r="H21" s="161" t="s">
        <v>74</v>
      </c>
      <c r="I21" s="137"/>
      <c r="J21" s="152"/>
      <c r="K21" s="37" t="s">
        <v>18</v>
      </c>
      <c r="L21" s="80">
        <v>16</v>
      </c>
      <c r="M21" s="179" t="s">
        <v>78</v>
      </c>
      <c r="N21" s="180" t="s">
        <v>79</v>
      </c>
      <c r="P21" s="77" t="s">
        <v>30</v>
      </c>
      <c r="Q21" s="73">
        <v>97</v>
      </c>
      <c r="R21" s="73">
        <v>105</v>
      </c>
      <c r="S21" s="73">
        <v>113</v>
      </c>
      <c r="T21" s="73">
        <v>121</v>
      </c>
      <c r="U21" s="73">
        <v>129</v>
      </c>
      <c r="V21" s="73">
        <v>137</v>
      </c>
      <c r="W21" s="73">
        <v>145</v>
      </c>
      <c r="X21" s="73">
        <v>153</v>
      </c>
      <c r="Y21" s="73">
        <v>161</v>
      </c>
      <c r="Z21" s="73">
        <v>169</v>
      </c>
      <c r="AA21" s="73">
        <v>177</v>
      </c>
      <c r="AB21" s="78">
        <v>185</v>
      </c>
      <c r="AC21"/>
    </row>
    <row r="22" spans="1:29" ht="19" x14ac:dyDescent="0.25">
      <c r="A22" s="37">
        <v>20</v>
      </c>
      <c r="B22" s="172">
        <v>3</v>
      </c>
      <c r="C22" s="173" t="s">
        <v>56</v>
      </c>
      <c r="D22" s="129" t="s">
        <v>887</v>
      </c>
      <c r="E22" s="144" t="s">
        <v>37</v>
      </c>
      <c r="F22" s="144" t="s">
        <v>37</v>
      </c>
      <c r="G22" s="171" t="s">
        <v>16</v>
      </c>
      <c r="H22" s="161" t="s">
        <v>74</v>
      </c>
      <c r="I22" s="137"/>
      <c r="J22" s="152"/>
      <c r="K22" s="37" t="s">
        <v>18</v>
      </c>
      <c r="L22" s="73">
        <v>17</v>
      </c>
      <c r="M22" s="179" t="s">
        <v>80</v>
      </c>
      <c r="N22" s="180" t="s">
        <v>81</v>
      </c>
      <c r="P22" s="77" t="s">
        <v>47</v>
      </c>
      <c r="Q22" s="73">
        <v>98</v>
      </c>
      <c r="R22" s="73">
        <v>106</v>
      </c>
      <c r="S22" s="73">
        <v>114</v>
      </c>
      <c r="T22" s="73">
        <v>122</v>
      </c>
      <c r="U22" s="73">
        <v>130</v>
      </c>
      <c r="V22" s="73">
        <v>138</v>
      </c>
      <c r="W22" s="73">
        <v>146</v>
      </c>
      <c r="X22" s="73">
        <v>154</v>
      </c>
      <c r="Y22" s="73">
        <v>162</v>
      </c>
      <c r="Z22" s="73">
        <v>170</v>
      </c>
      <c r="AA22" s="73">
        <v>178</v>
      </c>
      <c r="AB22" s="78">
        <v>186</v>
      </c>
      <c r="AC22"/>
    </row>
    <row r="23" spans="1:29" ht="19" x14ac:dyDescent="0.25">
      <c r="A23" s="37">
        <v>21</v>
      </c>
      <c r="B23" s="172">
        <v>4</v>
      </c>
      <c r="C23" s="173" t="s">
        <v>27</v>
      </c>
      <c r="D23" s="129" t="s">
        <v>887</v>
      </c>
      <c r="E23" s="149"/>
      <c r="F23" s="149"/>
      <c r="G23" s="171" t="s">
        <v>16</v>
      </c>
      <c r="H23" s="161" t="s">
        <v>74</v>
      </c>
      <c r="I23" s="137"/>
      <c r="J23" s="152"/>
      <c r="K23" s="37" t="s">
        <v>18</v>
      </c>
      <c r="L23" s="73">
        <v>18</v>
      </c>
      <c r="M23" s="179" t="s">
        <v>82</v>
      </c>
      <c r="N23" s="180" t="s">
        <v>83</v>
      </c>
      <c r="P23" s="77" t="s">
        <v>52</v>
      </c>
      <c r="Q23" s="73">
        <v>99</v>
      </c>
      <c r="R23" s="73">
        <v>107</v>
      </c>
      <c r="S23" s="73">
        <v>115</v>
      </c>
      <c r="T23" s="73">
        <v>123</v>
      </c>
      <c r="U23" s="73">
        <v>131</v>
      </c>
      <c r="V23" s="73">
        <v>139</v>
      </c>
      <c r="W23" s="73">
        <v>147</v>
      </c>
      <c r="X23" s="73">
        <v>155</v>
      </c>
      <c r="Y23" s="73">
        <v>163</v>
      </c>
      <c r="Z23" s="73">
        <v>171</v>
      </c>
      <c r="AA23" s="73">
        <v>179</v>
      </c>
      <c r="AB23" s="78">
        <v>187</v>
      </c>
      <c r="AC23"/>
    </row>
    <row r="24" spans="1:29" ht="19" x14ac:dyDescent="0.25">
      <c r="A24" s="37">
        <v>22</v>
      </c>
      <c r="B24" s="172">
        <v>7</v>
      </c>
      <c r="C24" s="173" t="s">
        <v>36</v>
      </c>
      <c r="D24" s="129" t="s">
        <v>887</v>
      </c>
      <c r="E24" s="144" t="s">
        <v>37</v>
      </c>
      <c r="F24" s="144" t="s">
        <v>37</v>
      </c>
      <c r="G24" s="171" t="s">
        <v>16</v>
      </c>
      <c r="H24" s="161" t="s">
        <v>74</v>
      </c>
      <c r="I24" s="137"/>
      <c r="J24" s="152"/>
      <c r="K24" s="37" t="s">
        <v>18</v>
      </c>
      <c r="L24" s="73">
        <v>19</v>
      </c>
      <c r="M24" s="179" t="s">
        <v>84</v>
      </c>
      <c r="N24" s="180" t="s">
        <v>85</v>
      </c>
      <c r="P24" s="77" t="s">
        <v>55</v>
      </c>
      <c r="Q24" s="73">
        <v>100</v>
      </c>
      <c r="R24" s="73">
        <v>108</v>
      </c>
      <c r="S24" s="73">
        <v>116</v>
      </c>
      <c r="T24" s="73">
        <v>124</v>
      </c>
      <c r="U24" s="73">
        <v>132</v>
      </c>
      <c r="V24" s="73">
        <v>140</v>
      </c>
      <c r="W24" s="73">
        <v>148</v>
      </c>
      <c r="X24" s="73">
        <v>156</v>
      </c>
      <c r="Y24" s="73">
        <v>164</v>
      </c>
      <c r="Z24" s="73">
        <v>172</v>
      </c>
      <c r="AA24" s="73">
        <v>180</v>
      </c>
      <c r="AB24" s="78">
        <v>188</v>
      </c>
      <c r="AC24"/>
    </row>
    <row r="25" spans="1:29" ht="19" x14ac:dyDescent="0.25">
      <c r="A25" s="37">
        <v>23</v>
      </c>
      <c r="B25" s="172">
        <v>8</v>
      </c>
      <c r="C25" s="173" t="s">
        <v>41</v>
      </c>
      <c r="D25" s="129" t="s">
        <v>887</v>
      </c>
      <c r="E25" s="149"/>
      <c r="F25" s="149"/>
      <c r="G25" s="171" t="s">
        <v>16</v>
      </c>
      <c r="H25" s="161" t="s">
        <v>74</v>
      </c>
      <c r="I25" s="137"/>
      <c r="J25" s="152"/>
      <c r="K25" s="37" t="s">
        <v>18</v>
      </c>
      <c r="L25" s="73">
        <v>20</v>
      </c>
      <c r="M25" s="179" t="s">
        <v>86</v>
      </c>
      <c r="N25" s="180" t="s">
        <v>87</v>
      </c>
      <c r="P25" s="77" t="s">
        <v>59</v>
      </c>
      <c r="Q25" s="73">
        <v>101</v>
      </c>
      <c r="R25" s="73">
        <v>109</v>
      </c>
      <c r="S25" s="73">
        <v>117</v>
      </c>
      <c r="T25" s="73">
        <v>125</v>
      </c>
      <c r="U25" s="73">
        <v>133</v>
      </c>
      <c r="V25" s="73">
        <v>141</v>
      </c>
      <c r="W25" s="73">
        <v>149</v>
      </c>
      <c r="X25" s="73">
        <v>157</v>
      </c>
      <c r="Y25" s="73">
        <v>165</v>
      </c>
      <c r="Z25" s="73">
        <v>173</v>
      </c>
      <c r="AA25" s="73">
        <v>181</v>
      </c>
      <c r="AB25" s="78">
        <v>189</v>
      </c>
      <c r="AC25"/>
    </row>
    <row r="26" spans="1:29" ht="19" x14ac:dyDescent="0.25">
      <c r="A26" s="37">
        <v>24</v>
      </c>
      <c r="B26" s="174">
        <v>9</v>
      </c>
      <c r="C26" s="175" t="s">
        <v>71</v>
      </c>
      <c r="D26" s="129" t="s">
        <v>890</v>
      </c>
      <c r="E26" s="144" t="s">
        <v>37</v>
      </c>
      <c r="F26" s="144" t="s">
        <v>37</v>
      </c>
      <c r="G26" s="171" t="s">
        <v>16</v>
      </c>
      <c r="H26" s="176" t="s">
        <v>74</v>
      </c>
      <c r="I26" s="137"/>
      <c r="J26" s="154"/>
      <c r="K26" s="37" t="s">
        <v>18</v>
      </c>
      <c r="L26" s="73">
        <v>21</v>
      </c>
      <c r="M26" s="179" t="s">
        <v>88</v>
      </c>
      <c r="N26" s="180" t="s">
        <v>89</v>
      </c>
      <c r="P26" s="77" t="s">
        <v>62</v>
      </c>
      <c r="Q26" s="73">
        <v>102</v>
      </c>
      <c r="R26" s="73">
        <v>110</v>
      </c>
      <c r="S26" s="73">
        <v>118</v>
      </c>
      <c r="T26" s="73">
        <v>126</v>
      </c>
      <c r="U26" s="73">
        <v>134</v>
      </c>
      <c r="V26" s="73">
        <v>142</v>
      </c>
      <c r="W26" s="73">
        <v>150</v>
      </c>
      <c r="X26" s="73">
        <v>158</v>
      </c>
      <c r="Y26" s="73">
        <v>166</v>
      </c>
      <c r="Z26" s="73">
        <v>174</v>
      </c>
      <c r="AA26" s="73">
        <v>182</v>
      </c>
      <c r="AB26" s="78">
        <v>190</v>
      </c>
      <c r="AC26"/>
    </row>
    <row r="27" spans="1:29" ht="19" x14ac:dyDescent="0.25">
      <c r="A27" s="37">
        <v>25</v>
      </c>
      <c r="B27" s="129">
        <v>10</v>
      </c>
      <c r="C27" s="155" t="s">
        <v>48</v>
      </c>
      <c r="D27" s="129" t="s">
        <v>885</v>
      </c>
      <c r="E27" s="127" t="s">
        <v>15</v>
      </c>
      <c r="F27" s="127" t="s">
        <v>15</v>
      </c>
      <c r="G27" s="135" t="s">
        <v>16</v>
      </c>
      <c r="H27" s="156" t="s">
        <v>90</v>
      </c>
      <c r="K27" s="37" t="s">
        <v>91</v>
      </c>
      <c r="L27" s="73">
        <v>100</v>
      </c>
      <c r="M27" s="179" t="s">
        <v>92</v>
      </c>
      <c r="N27" s="180" t="s">
        <v>93</v>
      </c>
      <c r="P27" s="77" t="s">
        <v>65</v>
      </c>
      <c r="Q27" s="73">
        <v>103</v>
      </c>
      <c r="R27" s="73">
        <v>111</v>
      </c>
      <c r="S27" s="73">
        <v>119</v>
      </c>
      <c r="T27" s="73">
        <v>127</v>
      </c>
      <c r="U27" s="73">
        <v>135</v>
      </c>
      <c r="V27" s="73">
        <v>143</v>
      </c>
      <c r="W27" s="73">
        <v>151</v>
      </c>
      <c r="X27" s="73">
        <v>159</v>
      </c>
      <c r="Y27" s="73">
        <v>167</v>
      </c>
      <c r="Z27" s="73">
        <v>175</v>
      </c>
      <c r="AA27" s="73">
        <v>183</v>
      </c>
      <c r="AB27" s="78">
        <v>191</v>
      </c>
      <c r="AC27"/>
    </row>
    <row r="28" spans="1:29" ht="19" x14ac:dyDescent="0.25">
      <c r="A28" s="37">
        <v>26</v>
      </c>
      <c r="B28" s="129">
        <v>11</v>
      </c>
      <c r="C28" s="157" t="s">
        <v>21</v>
      </c>
      <c r="D28" s="129" t="s">
        <v>887</v>
      </c>
      <c r="E28" s="138"/>
      <c r="F28" s="138"/>
      <c r="G28" s="135" t="s">
        <v>16</v>
      </c>
      <c r="H28" s="156" t="s">
        <v>90</v>
      </c>
      <c r="K28" s="37" t="s">
        <v>91</v>
      </c>
      <c r="L28" s="73">
        <v>22</v>
      </c>
      <c r="M28" s="179" t="s">
        <v>94</v>
      </c>
      <c r="N28" s="180" t="s">
        <v>95</v>
      </c>
      <c r="P28" s="79" t="s">
        <v>68</v>
      </c>
      <c r="Q28" s="80">
        <v>104</v>
      </c>
      <c r="R28" s="80">
        <v>112</v>
      </c>
      <c r="S28" s="80">
        <v>120</v>
      </c>
      <c r="T28" s="80">
        <v>128</v>
      </c>
      <c r="U28" s="80">
        <v>136</v>
      </c>
      <c r="V28" s="80">
        <v>144</v>
      </c>
      <c r="W28" s="80">
        <v>152</v>
      </c>
      <c r="X28" s="80">
        <v>160</v>
      </c>
      <c r="Y28" s="80">
        <v>168</v>
      </c>
      <c r="Z28" s="80">
        <v>176</v>
      </c>
      <c r="AA28" s="80">
        <v>184</v>
      </c>
      <c r="AB28" s="81">
        <v>192</v>
      </c>
      <c r="AC28"/>
    </row>
    <row r="29" spans="1:29" ht="19" x14ac:dyDescent="0.25">
      <c r="A29" s="37">
        <v>27</v>
      </c>
      <c r="B29" s="129">
        <v>12</v>
      </c>
      <c r="C29" s="157" t="s">
        <v>56</v>
      </c>
      <c r="D29" s="129" t="s">
        <v>887</v>
      </c>
      <c r="E29" s="127"/>
      <c r="F29" s="127"/>
      <c r="G29" s="135" t="s">
        <v>16</v>
      </c>
      <c r="H29" s="156" t="s">
        <v>90</v>
      </c>
      <c r="K29" s="37" t="s">
        <v>91</v>
      </c>
      <c r="L29" s="73">
        <v>23</v>
      </c>
      <c r="M29" s="179" t="s">
        <v>96</v>
      </c>
      <c r="N29" s="180" t="s">
        <v>97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ht="19" x14ac:dyDescent="0.25">
      <c r="A30" s="37">
        <v>28</v>
      </c>
      <c r="B30" s="129">
        <v>13</v>
      </c>
      <c r="C30" s="157" t="s">
        <v>27</v>
      </c>
      <c r="D30" s="129" t="s">
        <v>887</v>
      </c>
      <c r="E30" s="127"/>
      <c r="F30" s="127"/>
      <c r="G30" s="135" t="s">
        <v>16</v>
      </c>
      <c r="H30" s="156" t="s">
        <v>90</v>
      </c>
      <c r="K30" s="37" t="s">
        <v>91</v>
      </c>
      <c r="L30" s="80">
        <v>24</v>
      </c>
      <c r="M30" s="179" t="s">
        <v>98</v>
      </c>
      <c r="N30" s="180" t="s">
        <v>99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ht="19" x14ac:dyDescent="0.25">
      <c r="A31" s="37">
        <v>29</v>
      </c>
      <c r="B31" s="129">
        <v>15</v>
      </c>
      <c r="C31" s="157" t="s">
        <v>33</v>
      </c>
      <c r="D31" s="129" t="s">
        <v>887</v>
      </c>
      <c r="E31" s="127"/>
      <c r="F31" s="127"/>
      <c r="G31" s="135" t="s">
        <v>16</v>
      </c>
      <c r="H31" s="156" t="s">
        <v>90</v>
      </c>
      <c r="K31" s="37" t="s">
        <v>91</v>
      </c>
      <c r="L31" s="73">
        <v>25</v>
      </c>
      <c r="M31" s="179" t="s">
        <v>100</v>
      </c>
      <c r="N31" s="180" t="s">
        <v>101</v>
      </c>
      <c r="P31" s="11" t="s">
        <v>102</v>
      </c>
      <c r="Q31" s="75">
        <v>1</v>
      </c>
      <c r="R31" s="75">
        <v>2</v>
      </c>
      <c r="S31" s="75">
        <v>3</v>
      </c>
      <c r="T31" s="75">
        <v>4</v>
      </c>
      <c r="U31" s="75">
        <v>5</v>
      </c>
      <c r="V31" s="75">
        <v>6</v>
      </c>
      <c r="W31" s="75">
        <v>7</v>
      </c>
      <c r="X31" s="75">
        <v>8</v>
      </c>
      <c r="Y31" s="75">
        <v>9</v>
      </c>
      <c r="Z31" s="75">
        <v>10</v>
      </c>
      <c r="AA31" s="75">
        <v>11</v>
      </c>
      <c r="AB31" s="76">
        <v>12</v>
      </c>
      <c r="AC31"/>
    </row>
    <row r="32" spans="1:29" ht="19" x14ac:dyDescent="0.25">
      <c r="A32" s="37">
        <v>30</v>
      </c>
      <c r="B32" s="129">
        <v>16</v>
      </c>
      <c r="C32" s="157" t="s">
        <v>36</v>
      </c>
      <c r="D32" s="129" t="s">
        <v>887</v>
      </c>
      <c r="E32" s="138"/>
      <c r="F32" s="138"/>
      <c r="G32" s="135" t="s">
        <v>16</v>
      </c>
      <c r="H32" s="156" t="s">
        <v>90</v>
      </c>
      <c r="K32" s="37" t="s">
        <v>91</v>
      </c>
      <c r="L32" s="73">
        <v>26</v>
      </c>
      <c r="M32" s="179" t="s">
        <v>103</v>
      </c>
      <c r="N32" s="180" t="s">
        <v>104</v>
      </c>
      <c r="P32" s="77" t="s">
        <v>30</v>
      </c>
      <c r="Q32" s="73">
        <v>193</v>
      </c>
      <c r="R32" s="73">
        <v>201</v>
      </c>
      <c r="S32" s="73">
        <v>209</v>
      </c>
      <c r="T32" s="73">
        <v>217</v>
      </c>
      <c r="U32" s="73">
        <v>225</v>
      </c>
      <c r="V32" s="73">
        <v>233</v>
      </c>
      <c r="W32" s="73">
        <v>241</v>
      </c>
      <c r="X32" s="73">
        <v>249</v>
      </c>
      <c r="Y32" s="73">
        <v>257</v>
      </c>
      <c r="Z32" s="73">
        <v>265</v>
      </c>
      <c r="AA32" s="73">
        <v>273</v>
      </c>
      <c r="AB32" s="78">
        <v>281</v>
      </c>
      <c r="AC32"/>
    </row>
    <row r="33" spans="1:29" ht="19" x14ac:dyDescent="0.25">
      <c r="A33" s="37">
        <v>31</v>
      </c>
      <c r="B33" s="129">
        <v>17</v>
      </c>
      <c r="C33" s="158" t="s">
        <v>41</v>
      </c>
      <c r="D33" s="129" t="s">
        <v>887</v>
      </c>
      <c r="E33" s="127" t="s">
        <v>15</v>
      </c>
      <c r="F33" s="127" t="s">
        <v>15</v>
      </c>
      <c r="G33" s="135" t="s">
        <v>16</v>
      </c>
      <c r="H33" s="156" t="s">
        <v>90</v>
      </c>
      <c r="K33" s="37" t="s">
        <v>91</v>
      </c>
      <c r="L33" s="73">
        <v>27</v>
      </c>
      <c r="M33" s="179" t="s">
        <v>105</v>
      </c>
      <c r="N33" s="180" t="s">
        <v>106</v>
      </c>
      <c r="P33" s="77" t="s">
        <v>47</v>
      </c>
      <c r="Q33" s="73">
        <v>194</v>
      </c>
      <c r="R33" s="73">
        <v>202</v>
      </c>
      <c r="S33" s="73">
        <v>210</v>
      </c>
      <c r="T33" s="73">
        <v>218</v>
      </c>
      <c r="U33" s="73">
        <v>226</v>
      </c>
      <c r="V33" s="73">
        <v>234</v>
      </c>
      <c r="W33" s="73">
        <v>242</v>
      </c>
      <c r="X33" s="73">
        <v>250</v>
      </c>
      <c r="Y33" s="73">
        <v>258</v>
      </c>
      <c r="Z33" s="73">
        <v>266</v>
      </c>
      <c r="AA33" s="73">
        <v>274</v>
      </c>
      <c r="AB33" s="78">
        <v>282</v>
      </c>
      <c r="AC33"/>
    </row>
    <row r="34" spans="1:29" ht="19" x14ac:dyDescent="0.25">
      <c r="A34" s="37">
        <v>32</v>
      </c>
      <c r="B34" s="129">
        <v>18</v>
      </c>
      <c r="C34" s="159" t="s">
        <v>71</v>
      </c>
      <c r="D34" s="129" t="s">
        <v>890</v>
      </c>
      <c r="E34" s="127" t="s">
        <v>15</v>
      </c>
      <c r="F34" s="127" t="s">
        <v>15</v>
      </c>
      <c r="G34" s="135" t="s">
        <v>16</v>
      </c>
      <c r="H34" s="156" t="s">
        <v>90</v>
      </c>
      <c r="K34" s="37" t="s">
        <v>91</v>
      </c>
      <c r="L34" s="73">
        <v>28</v>
      </c>
      <c r="M34" s="179" t="s">
        <v>107</v>
      </c>
      <c r="N34" s="180" t="s">
        <v>108</v>
      </c>
      <c r="P34" s="77" t="s">
        <v>52</v>
      </c>
      <c r="Q34" s="73">
        <v>195</v>
      </c>
      <c r="R34" s="73">
        <v>203</v>
      </c>
      <c r="S34" s="73">
        <v>211</v>
      </c>
      <c r="T34" s="73">
        <v>219</v>
      </c>
      <c r="U34" s="73">
        <v>227</v>
      </c>
      <c r="V34" s="73">
        <v>235</v>
      </c>
      <c r="W34" s="73">
        <v>243</v>
      </c>
      <c r="X34" s="73">
        <v>251</v>
      </c>
      <c r="Y34" s="73">
        <v>259</v>
      </c>
      <c r="Z34" s="73">
        <v>267</v>
      </c>
      <c r="AA34" s="73">
        <v>275</v>
      </c>
      <c r="AB34" s="78">
        <v>283</v>
      </c>
      <c r="AC34"/>
    </row>
    <row r="35" spans="1:29" ht="19" x14ac:dyDescent="0.25">
      <c r="A35" s="37">
        <v>33</v>
      </c>
      <c r="B35" s="129">
        <v>19</v>
      </c>
      <c r="C35" s="155" t="s">
        <v>48</v>
      </c>
      <c r="D35" s="129" t="s">
        <v>885</v>
      </c>
      <c r="E35" s="127" t="s">
        <v>15</v>
      </c>
      <c r="F35" s="127" t="s">
        <v>15</v>
      </c>
      <c r="G35" s="135" t="s">
        <v>16</v>
      </c>
      <c r="H35" s="156" t="s">
        <v>109</v>
      </c>
      <c r="K35" s="37" t="s">
        <v>91</v>
      </c>
      <c r="L35" s="73">
        <v>101</v>
      </c>
      <c r="M35" s="179" t="s">
        <v>110</v>
      </c>
      <c r="N35" s="180" t="s">
        <v>111</v>
      </c>
      <c r="P35" s="77" t="s">
        <v>55</v>
      </c>
      <c r="Q35" s="73">
        <v>196</v>
      </c>
      <c r="R35" s="73">
        <v>204</v>
      </c>
      <c r="S35" s="73">
        <v>212</v>
      </c>
      <c r="T35" s="73">
        <v>220</v>
      </c>
      <c r="U35" s="73">
        <v>228</v>
      </c>
      <c r="V35" s="73">
        <v>236</v>
      </c>
      <c r="W35" s="73">
        <v>244</v>
      </c>
      <c r="X35" s="73">
        <v>252</v>
      </c>
      <c r="Y35" s="73">
        <v>260</v>
      </c>
      <c r="Z35" s="73">
        <v>268</v>
      </c>
      <c r="AA35" s="73">
        <v>276</v>
      </c>
      <c r="AB35" s="78">
        <v>284</v>
      </c>
      <c r="AC35"/>
    </row>
    <row r="36" spans="1:29" ht="19" x14ac:dyDescent="0.25">
      <c r="A36" s="37">
        <v>34</v>
      </c>
      <c r="B36" s="129">
        <v>20</v>
      </c>
      <c r="C36" s="157" t="s">
        <v>21</v>
      </c>
      <c r="D36" s="129" t="s">
        <v>887</v>
      </c>
      <c r="E36" s="138"/>
      <c r="F36" s="138"/>
      <c r="G36" s="135" t="s">
        <v>16</v>
      </c>
      <c r="H36" s="156" t="s">
        <v>109</v>
      </c>
      <c r="K36" s="37" t="s">
        <v>91</v>
      </c>
      <c r="L36" s="73">
        <v>29</v>
      </c>
      <c r="M36" s="179" t="s">
        <v>112</v>
      </c>
      <c r="N36" s="180" t="s">
        <v>113</v>
      </c>
      <c r="P36" s="77" t="s">
        <v>59</v>
      </c>
      <c r="Q36" s="73">
        <v>197</v>
      </c>
      <c r="R36" s="73">
        <v>205</v>
      </c>
      <c r="S36" s="73">
        <v>213</v>
      </c>
      <c r="T36" s="73">
        <v>221</v>
      </c>
      <c r="U36" s="73">
        <v>229</v>
      </c>
      <c r="V36" s="73">
        <v>237</v>
      </c>
      <c r="W36" s="73">
        <v>245</v>
      </c>
      <c r="X36" s="73">
        <v>253</v>
      </c>
      <c r="Y36" s="73">
        <v>261</v>
      </c>
      <c r="Z36" s="73">
        <v>269</v>
      </c>
      <c r="AA36" s="73">
        <v>277</v>
      </c>
      <c r="AB36" s="78">
        <v>285</v>
      </c>
      <c r="AC36"/>
    </row>
    <row r="37" spans="1:29" ht="19" x14ac:dyDescent="0.25">
      <c r="A37" s="37">
        <v>35</v>
      </c>
      <c r="B37" s="129">
        <v>21</v>
      </c>
      <c r="C37" s="157" t="s">
        <v>56</v>
      </c>
      <c r="D37" s="129" t="s">
        <v>887</v>
      </c>
      <c r="E37" s="127"/>
      <c r="F37" s="127"/>
      <c r="G37" s="135" t="s">
        <v>16</v>
      </c>
      <c r="H37" s="156" t="s">
        <v>109</v>
      </c>
      <c r="K37" s="37" t="s">
        <v>91</v>
      </c>
      <c r="L37" s="73">
        <v>30</v>
      </c>
      <c r="M37" s="179" t="s">
        <v>114</v>
      </c>
      <c r="N37" s="180" t="s">
        <v>115</v>
      </c>
      <c r="P37" s="77" t="s">
        <v>62</v>
      </c>
      <c r="Q37" s="73">
        <v>198</v>
      </c>
      <c r="R37" s="73">
        <v>206</v>
      </c>
      <c r="S37" s="73">
        <v>214</v>
      </c>
      <c r="T37" s="73">
        <v>222</v>
      </c>
      <c r="U37" s="73">
        <v>230</v>
      </c>
      <c r="V37" s="73">
        <v>238</v>
      </c>
      <c r="W37" s="73">
        <v>246</v>
      </c>
      <c r="X37" s="73">
        <v>254</v>
      </c>
      <c r="Y37" s="73">
        <v>262</v>
      </c>
      <c r="Z37" s="73">
        <v>270</v>
      </c>
      <c r="AA37" s="73">
        <v>278</v>
      </c>
      <c r="AB37" s="78">
        <v>286</v>
      </c>
      <c r="AC37"/>
    </row>
    <row r="38" spans="1:29" ht="19" x14ac:dyDescent="0.25">
      <c r="A38" s="37">
        <v>36</v>
      </c>
      <c r="B38" s="129">
        <v>22</v>
      </c>
      <c r="C38" s="157" t="s">
        <v>27</v>
      </c>
      <c r="D38" s="129" t="s">
        <v>887</v>
      </c>
      <c r="E38" s="127"/>
      <c r="F38" s="127"/>
      <c r="G38" s="135" t="s">
        <v>16</v>
      </c>
      <c r="H38" s="156" t="s">
        <v>109</v>
      </c>
      <c r="K38" s="37" t="s">
        <v>91</v>
      </c>
      <c r="L38" s="73">
        <v>31</v>
      </c>
      <c r="M38" s="179" t="s">
        <v>116</v>
      </c>
      <c r="N38" s="180" t="s">
        <v>117</v>
      </c>
      <c r="P38" s="77" t="s">
        <v>65</v>
      </c>
      <c r="Q38" s="73">
        <v>199</v>
      </c>
      <c r="R38" s="73">
        <v>207</v>
      </c>
      <c r="S38" s="73">
        <v>215</v>
      </c>
      <c r="T38" s="73">
        <v>223</v>
      </c>
      <c r="U38" s="73">
        <v>231</v>
      </c>
      <c r="V38" s="73">
        <v>239</v>
      </c>
      <c r="W38" s="73">
        <v>247</v>
      </c>
      <c r="X38" s="73">
        <v>255</v>
      </c>
      <c r="Y38" s="73">
        <v>263</v>
      </c>
      <c r="Z38" s="73">
        <v>271</v>
      </c>
      <c r="AA38" s="73">
        <v>279</v>
      </c>
      <c r="AB38" s="78">
        <v>287</v>
      </c>
      <c r="AC38"/>
    </row>
    <row r="39" spans="1:29" ht="19" x14ac:dyDescent="0.25">
      <c r="A39" s="37">
        <v>37</v>
      </c>
      <c r="B39" s="129">
        <v>24</v>
      </c>
      <c r="C39" s="157" t="s">
        <v>33</v>
      </c>
      <c r="D39" s="129" t="s">
        <v>887</v>
      </c>
      <c r="E39" s="127"/>
      <c r="F39" s="127"/>
      <c r="G39" s="135" t="s">
        <v>16</v>
      </c>
      <c r="H39" s="156" t="s">
        <v>109</v>
      </c>
      <c r="K39" s="37" t="s">
        <v>91</v>
      </c>
      <c r="L39" s="80">
        <v>32</v>
      </c>
      <c r="M39" s="179" t="s">
        <v>118</v>
      </c>
      <c r="N39" s="180" t="s">
        <v>119</v>
      </c>
      <c r="P39" s="79" t="s">
        <v>68</v>
      </c>
      <c r="Q39" s="80">
        <v>200</v>
      </c>
      <c r="R39" s="80">
        <v>208</v>
      </c>
      <c r="S39" s="80">
        <v>216</v>
      </c>
      <c r="T39" s="80">
        <v>224</v>
      </c>
      <c r="U39" s="80">
        <v>232</v>
      </c>
      <c r="V39" s="80">
        <v>240</v>
      </c>
      <c r="W39" s="80">
        <v>248</v>
      </c>
      <c r="X39" s="80">
        <v>256</v>
      </c>
      <c r="Y39" s="80">
        <v>264</v>
      </c>
      <c r="Z39" s="80">
        <v>272</v>
      </c>
      <c r="AA39" s="80">
        <v>280</v>
      </c>
      <c r="AB39" s="81">
        <v>288</v>
      </c>
      <c r="AC39"/>
    </row>
    <row r="40" spans="1:29" ht="19" x14ac:dyDescent="0.25">
      <c r="A40" s="37">
        <v>38</v>
      </c>
      <c r="B40" s="129">
        <v>25</v>
      </c>
      <c r="C40" s="157" t="s">
        <v>36</v>
      </c>
      <c r="D40" s="129" t="s">
        <v>887</v>
      </c>
      <c r="E40" s="138"/>
      <c r="F40" s="138"/>
      <c r="G40" s="135" t="s">
        <v>16</v>
      </c>
      <c r="H40" s="156" t="s">
        <v>109</v>
      </c>
      <c r="K40" s="37" t="s">
        <v>91</v>
      </c>
      <c r="L40" s="73">
        <v>33</v>
      </c>
      <c r="M40" s="179" t="s">
        <v>120</v>
      </c>
      <c r="N40" s="180" t="s">
        <v>121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ht="19" x14ac:dyDescent="0.25">
      <c r="A41" s="37">
        <v>39</v>
      </c>
      <c r="B41" s="129">
        <v>26</v>
      </c>
      <c r="C41" s="158" t="s">
        <v>41</v>
      </c>
      <c r="D41" s="129" t="s">
        <v>887</v>
      </c>
      <c r="E41" s="127" t="s">
        <v>15</v>
      </c>
      <c r="F41" s="127" t="s">
        <v>15</v>
      </c>
      <c r="G41" s="135" t="s">
        <v>16</v>
      </c>
      <c r="H41" s="156" t="s">
        <v>109</v>
      </c>
      <c r="K41" s="37" t="s">
        <v>91</v>
      </c>
      <c r="L41" s="73">
        <v>34</v>
      </c>
      <c r="M41" s="179" t="s">
        <v>122</v>
      </c>
      <c r="N41" s="180" t="s">
        <v>123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ht="19" x14ac:dyDescent="0.25">
      <c r="A42" s="37">
        <v>40</v>
      </c>
      <c r="B42" s="129">
        <v>27</v>
      </c>
      <c r="C42" s="159" t="s">
        <v>71</v>
      </c>
      <c r="D42" s="129" t="s">
        <v>890</v>
      </c>
      <c r="E42" s="127" t="s">
        <v>15</v>
      </c>
      <c r="F42" s="127" t="s">
        <v>15</v>
      </c>
      <c r="G42" s="135" t="s">
        <v>16</v>
      </c>
      <c r="H42" s="156" t="s">
        <v>109</v>
      </c>
      <c r="K42" s="37" t="s">
        <v>91</v>
      </c>
      <c r="L42" s="73">
        <v>35</v>
      </c>
      <c r="M42" s="179" t="s">
        <v>124</v>
      </c>
      <c r="N42" s="180" t="s">
        <v>125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ht="19" x14ac:dyDescent="0.25">
      <c r="A43" s="37">
        <v>41</v>
      </c>
      <c r="B43" s="134">
        <v>1</v>
      </c>
      <c r="C43" s="146" t="s">
        <v>21</v>
      </c>
      <c r="D43" s="129" t="s">
        <v>887</v>
      </c>
      <c r="E43" s="134"/>
      <c r="F43" s="160"/>
      <c r="G43" s="135" t="s">
        <v>16</v>
      </c>
      <c r="H43" s="161" t="s">
        <v>126</v>
      </c>
      <c r="K43" s="37" t="s">
        <v>127</v>
      </c>
      <c r="L43" s="73">
        <v>36</v>
      </c>
      <c r="M43" s="179" t="s">
        <v>128</v>
      </c>
      <c r="N43" s="180" t="s">
        <v>129</v>
      </c>
    </row>
    <row r="44" spans="1:29" ht="19" x14ac:dyDescent="0.25">
      <c r="A44" s="37">
        <v>42</v>
      </c>
      <c r="B44" s="129">
        <v>2</v>
      </c>
      <c r="C44" s="146" t="s">
        <v>27</v>
      </c>
      <c r="D44" s="129" t="s">
        <v>887</v>
      </c>
      <c r="E44" s="127" t="s">
        <v>15</v>
      </c>
      <c r="F44" s="127" t="s">
        <v>15</v>
      </c>
      <c r="G44" s="135" t="s">
        <v>16</v>
      </c>
      <c r="H44" s="161" t="s">
        <v>126</v>
      </c>
      <c r="K44" s="37" t="s">
        <v>127</v>
      </c>
      <c r="L44" s="73">
        <v>37</v>
      </c>
      <c r="M44" s="179" t="s">
        <v>130</v>
      </c>
      <c r="N44" s="180" t="s">
        <v>131</v>
      </c>
    </row>
    <row r="45" spans="1:29" ht="19" x14ac:dyDescent="0.25">
      <c r="A45" s="37">
        <v>43</v>
      </c>
      <c r="B45" s="134">
        <v>3</v>
      </c>
      <c r="C45" s="162" t="s">
        <v>48</v>
      </c>
      <c r="D45" s="129" t="s">
        <v>885</v>
      </c>
      <c r="E45" s="127" t="s">
        <v>15</v>
      </c>
      <c r="F45" s="127" t="s">
        <v>15</v>
      </c>
      <c r="G45" s="135" t="s">
        <v>16</v>
      </c>
      <c r="H45" s="161" t="s">
        <v>126</v>
      </c>
      <c r="K45" s="37" t="s">
        <v>127</v>
      </c>
      <c r="L45" s="73">
        <v>102</v>
      </c>
      <c r="M45" s="179" t="s">
        <v>132</v>
      </c>
      <c r="N45" s="180" t="s">
        <v>133</v>
      </c>
      <c r="P45" s="1" t="s">
        <v>884</v>
      </c>
    </row>
    <row r="46" spans="1:29" ht="19" x14ac:dyDescent="0.25">
      <c r="A46" s="37">
        <v>44</v>
      </c>
      <c r="B46" s="129">
        <v>4</v>
      </c>
      <c r="C46" s="146" t="s">
        <v>36</v>
      </c>
      <c r="D46" s="129" t="s">
        <v>887</v>
      </c>
      <c r="E46" s="127" t="s">
        <v>15</v>
      </c>
      <c r="F46" s="127" t="s">
        <v>15</v>
      </c>
      <c r="G46" s="135" t="s">
        <v>16</v>
      </c>
      <c r="H46" s="161" t="s">
        <v>126</v>
      </c>
      <c r="K46" s="37" t="s">
        <v>127</v>
      </c>
      <c r="L46" s="73">
        <v>38</v>
      </c>
      <c r="M46" s="179" t="s">
        <v>134</v>
      </c>
      <c r="N46" s="180" t="s">
        <v>135</v>
      </c>
      <c r="P46" t="s">
        <v>885</v>
      </c>
    </row>
    <row r="47" spans="1:29" ht="19" x14ac:dyDescent="0.25">
      <c r="A47" s="37">
        <v>45</v>
      </c>
      <c r="B47" s="134">
        <v>5</v>
      </c>
      <c r="C47" s="146" t="s">
        <v>56</v>
      </c>
      <c r="D47" s="129" t="s">
        <v>887</v>
      </c>
      <c r="E47" s="129"/>
      <c r="F47" s="127"/>
      <c r="G47" s="135" t="s">
        <v>16</v>
      </c>
      <c r="H47" s="161" t="s">
        <v>126</v>
      </c>
      <c r="K47" s="37" t="s">
        <v>127</v>
      </c>
      <c r="L47" s="73">
        <v>39</v>
      </c>
      <c r="M47" s="179" t="s">
        <v>136</v>
      </c>
      <c r="N47" s="180" t="s">
        <v>137</v>
      </c>
      <c r="P47" t="s">
        <v>886</v>
      </c>
    </row>
    <row r="48" spans="1:29" ht="19" x14ac:dyDescent="0.25">
      <c r="A48" s="37">
        <v>46</v>
      </c>
      <c r="B48" s="129">
        <v>6</v>
      </c>
      <c r="C48" s="153" t="s">
        <v>138</v>
      </c>
      <c r="D48" s="129" t="s">
        <v>887</v>
      </c>
      <c r="E48" s="129"/>
      <c r="F48" s="127"/>
      <c r="G48" s="135" t="s">
        <v>16</v>
      </c>
      <c r="H48" s="161" t="s">
        <v>126</v>
      </c>
      <c r="K48" s="37" t="s">
        <v>127</v>
      </c>
      <c r="L48" s="80">
        <v>40</v>
      </c>
      <c r="M48" s="179" t="s">
        <v>139</v>
      </c>
      <c r="N48" s="180" t="s">
        <v>140</v>
      </c>
      <c r="P48" t="s">
        <v>887</v>
      </c>
    </row>
    <row r="49" spans="1:16" ht="19" x14ac:dyDescent="0.25">
      <c r="A49" s="37">
        <v>47</v>
      </c>
      <c r="B49" s="134">
        <v>7</v>
      </c>
      <c r="C49" s="163" t="s">
        <v>71</v>
      </c>
      <c r="D49" s="129" t="s">
        <v>890</v>
      </c>
      <c r="E49" s="127" t="s">
        <v>15</v>
      </c>
      <c r="F49" s="127" t="s">
        <v>15</v>
      </c>
      <c r="G49" s="135" t="s">
        <v>16</v>
      </c>
      <c r="H49" s="161" t="s">
        <v>126</v>
      </c>
      <c r="K49" s="37" t="s">
        <v>127</v>
      </c>
      <c r="L49" s="73">
        <v>41</v>
      </c>
      <c r="M49" s="179" t="s">
        <v>141</v>
      </c>
      <c r="N49" s="180" t="s">
        <v>142</v>
      </c>
      <c r="P49" t="s">
        <v>888</v>
      </c>
    </row>
    <row r="50" spans="1:16" ht="19" x14ac:dyDescent="0.25">
      <c r="A50" s="37">
        <v>48</v>
      </c>
      <c r="B50" s="129">
        <v>8</v>
      </c>
      <c r="C50" s="146" t="s">
        <v>21</v>
      </c>
      <c r="D50" s="129" t="s">
        <v>887</v>
      </c>
      <c r="E50" s="129"/>
      <c r="F50" s="164"/>
      <c r="G50" s="135" t="s">
        <v>16</v>
      </c>
      <c r="H50" s="161" t="s">
        <v>143</v>
      </c>
      <c r="K50" s="37" t="s">
        <v>127</v>
      </c>
      <c r="L50" s="73">
        <v>42</v>
      </c>
      <c r="M50" s="179" t="s">
        <v>144</v>
      </c>
      <c r="N50" s="180" t="s">
        <v>145</v>
      </c>
      <c r="P50" t="s">
        <v>889</v>
      </c>
    </row>
    <row r="51" spans="1:16" ht="19" x14ac:dyDescent="0.25">
      <c r="A51" s="37">
        <v>49</v>
      </c>
      <c r="B51" s="134">
        <v>9</v>
      </c>
      <c r="C51" s="146" t="s">
        <v>27</v>
      </c>
      <c r="D51" s="129" t="s">
        <v>887</v>
      </c>
      <c r="E51" s="127" t="s">
        <v>15</v>
      </c>
      <c r="F51" s="127" t="s">
        <v>15</v>
      </c>
      <c r="G51" s="135" t="s">
        <v>16</v>
      </c>
      <c r="H51" s="161" t="s">
        <v>143</v>
      </c>
      <c r="K51" s="37" t="s">
        <v>127</v>
      </c>
      <c r="L51" s="73">
        <v>43</v>
      </c>
      <c r="M51" s="179" t="s">
        <v>146</v>
      </c>
      <c r="N51" s="180" t="s">
        <v>147</v>
      </c>
      <c r="P51" t="s">
        <v>890</v>
      </c>
    </row>
    <row r="52" spans="1:16" ht="19" x14ac:dyDescent="0.25">
      <c r="A52" s="37">
        <v>50</v>
      </c>
      <c r="B52" s="129">
        <v>10</v>
      </c>
      <c r="C52" s="162" t="s">
        <v>48</v>
      </c>
      <c r="D52" s="129" t="s">
        <v>885</v>
      </c>
      <c r="E52" s="127" t="s">
        <v>15</v>
      </c>
      <c r="F52" s="127" t="s">
        <v>15</v>
      </c>
      <c r="G52" s="135" t="s">
        <v>16</v>
      </c>
      <c r="H52" s="161" t="s">
        <v>143</v>
      </c>
      <c r="K52" s="37" t="s">
        <v>127</v>
      </c>
      <c r="L52" s="73">
        <v>103</v>
      </c>
      <c r="M52" s="179" t="s">
        <v>148</v>
      </c>
      <c r="N52" s="180" t="s">
        <v>149</v>
      </c>
      <c r="P52" t="s">
        <v>891</v>
      </c>
    </row>
    <row r="53" spans="1:16" ht="19" x14ac:dyDescent="0.25">
      <c r="A53" s="37">
        <v>51</v>
      </c>
      <c r="B53" s="134">
        <v>11</v>
      </c>
      <c r="C53" s="146" t="s">
        <v>36</v>
      </c>
      <c r="D53" s="129" t="s">
        <v>887</v>
      </c>
      <c r="E53" s="127" t="s">
        <v>15</v>
      </c>
      <c r="F53" s="127" t="s">
        <v>15</v>
      </c>
      <c r="G53" s="135" t="s">
        <v>16</v>
      </c>
      <c r="H53" s="161" t="s">
        <v>143</v>
      </c>
      <c r="K53" s="37" t="s">
        <v>127</v>
      </c>
      <c r="L53" s="73">
        <v>44</v>
      </c>
      <c r="M53" s="179" t="s">
        <v>150</v>
      </c>
      <c r="N53" s="180" t="s">
        <v>151</v>
      </c>
      <c r="P53" t="s">
        <v>892</v>
      </c>
    </row>
    <row r="54" spans="1:16" ht="19" x14ac:dyDescent="0.25">
      <c r="A54" s="37">
        <v>52</v>
      </c>
      <c r="B54" s="129">
        <v>12</v>
      </c>
      <c r="C54" s="146" t="s">
        <v>56</v>
      </c>
      <c r="D54" s="129" t="s">
        <v>887</v>
      </c>
      <c r="E54" s="129"/>
      <c r="F54" s="127"/>
      <c r="G54" s="135" t="s">
        <v>16</v>
      </c>
      <c r="H54" s="161" t="s">
        <v>143</v>
      </c>
      <c r="K54" s="37" t="s">
        <v>127</v>
      </c>
      <c r="L54" s="73">
        <v>45</v>
      </c>
      <c r="M54" s="179" t="s">
        <v>152</v>
      </c>
      <c r="N54" s="180" t="s">
        <v>153</v>
      </c>
    </row>
    <row r="55" spans="1:16" ht="19" x14ac:dyDescent="0.25">
      <c r="A55" s="37">
        <v>53</v>
      </c>
      <c r="B55" s="134">
        <v>13</v>
      </c>
      <c r="C55" s="153" t="s">
        <v>138</v>
      </c>
      <c r="D55" s="129" t="s">
        <v>887</v>
      </c>
      <c r="E55" s="129"/>
      <c r="F55" s="127"/>
      <c r="G55" s="135" t="s">
        <v>16</v>
      </c>
      <c r="H55" s="161" t="s">
        <v>143</v>
      </c>
      <c r="K55" s="37" t="s">
        <v>127</v>
      </c>
      <c r="L55" s="73">
        <v>46</v>
      </c>
      <c r="M55" s="179" t="s">
        <v>154</v>
      </c>
      <c r="N55" s="180" t="s">
        <v>155</v>
      </c>
    </row>
    <row r="56" spans="1:16" ht="19" x14ac:dyDescent="0.25">
      <c r="A56" s="37">
        <v>54</v>
      </c>
      <c r="B56" s="129">
        <v>14</v>
      </c>
      <c r="C56" s="163" t="s">
        <v>71</v>
      </c>
      <c r="D56" s="129" t="s">
        <v>890</v>
      </c>
      <c r="E56" s="127" t="s">
        <v>15</v>
      </c>
      <c r="F56" s="127" t="s">
        <v>15</v>
      </c>
      <c r="G56" s="135" t="s">
        <v>16</v>
      </c>
      <c r="H56" s="161" t="s">
        <v>143</v>
      </c>
      <c r="K56" s="37" t="s">
        <v>127</v>
      </c>
      <c r="L56" s="73">
        <v>47</v>
      </c>
      <c r="M56" s="179" t="s">
        <v>156</v>
      </c>
      <c r="N56" s="180" t="s">
        <v>157</v>
      </c>
    </row>
    <row r="57" spans="1:16" ht="19" x14ac:dyDescent="0.25">
      <c r="A57" s="37">
        <v>55</v>
      </c>
      <c r="B57" s="134">
        <v>15</v>
      </c>
      <c r="C57" s="146" t="s">
        <v>21</v>
      </c>
      <c r="D57" s="129" t="s">
        <v>887</v>
      </c>
      <c r="E57" s="129"/>
      <c r="F57" s="138"/>
      <c r="G57" s="135" t="s">
        <v>16</v>
      </c>
      <c r="H57" s="161" t="s">
        <v>158</v>
      </c>
      <c r="K57" s="37" t="s">
        <v>127</v>
      </c>
      <c r="L57" s="80">
        <v>48</v>
      </c>
      <c r="M57" s="179" t="s">
        <v>159</v>
      </c>
      <c r="N57" s="180" t="s">
        <v>160</v>
      </c>
    </row>
    <row r="58" spans="1:16" ht="19" x14ac:dyDescent="0.25">
      <c r="A58" s="37">
        <v>56</v>
      </c>
      <c r="B58" s="129">
        <v>16</v>
      </c>
      <c r="C58" s="146" t="s">
        <v>36</v>
      </c>
      <c r="D58" s="129" t="s">
        <v>887</v>
      </c>
      <c r="E58" s="127" t="s">
        <v>15</v>
      </c>
      <c r="F58" s="127" t="s">
        <v>15</v>
      </c>
      <c r="G58" s="135" t="s">
        <v>16</v>
      </c>
      <c r="H58" s="161" t="s">
        <v>158</v>
      </c>
      <c r="K58" s="37" t="s">
        <v>127</v>
      </c>
      <c r="L58" s="73">
        <v>49</v>
      </c>
      <c r="M58" s="179" t="s">
        <v>161</v>
      </c>
      <c r="N58" s="180" t="s">
        <v>162</v>
      </c>
    </row>
    <row r="59" spans="1:16" ht="19" x14ac:dyDescent="0.25">
      <c r="A59" s="37">
        <v>57</v>
      </c>
      <c r="B59" s="134">
        <v>17</v>
      </c>
      <c r="C59" s="162" t="s">
        <v>48</v>
      </c>
      <c r="D59" s="129" t="s">
        <v>885</v>
      </c>
      <c r="E59" s="127" t="s">
        <v>15</v>
      </c>
      <c r="F59" s="127" t="s">
        <v>15</v>
      </c>
      <c r="G59" s="135" t="s">
        <v>16</v>
      </c>
      <c r="H59" s="161" t="s">
        <v>158</v>
      </c>
      <c r="K59" s="37" t="s">
        <v>127</v>
      </c>
      <c r="L59" s="80">
        <v>104</v>
      </c>
      <c r="M59" s="179" t="s">
        <v>163</v>
      </c>
      <c r="N59" s="180" t="s">
        <v>164</v>
      </c>
    </row>
    <row r="60" spans="1:16" ht="19" x14ac:dyDescent="0.25">
      <c r="A60" s="37">
        <v>58</v>
      </c>
      <c r="B60" s="129">
        <v>18</v>
      </c>
      <c r="C60" s="146" t="s">
        <v>27</v>
      </c>
      <c r="D60" s="129" t="s">
        <v>887</v>
      </c>
      <c r="E60" s="127" t="s">
        <v>15</v>
      </c>
      <c r="F60" s="127" t="s">
        <v>15</v>
      </c>
      <c r="G60" s="135" t="s">
        <v>16</v>
      </c>
      <c r="H60" s="161" t="s">
        <v>158</v>
      </c>
      <c r="K60" s="37" t="s">
        <v>127</v>
      </c>
      <c r="L60" s="73">
        <v>50</v>
      </c>
      <c r="M60" s="179" t="s">
        <v>165</v>
      </c>
      <c r="N60" s="180" t="s">
        <v>166</v>
      </c>
    </row>
    <row r="61" spans="1:16" ht="19" x14ac:dyDescent="0.25">
      <c r="A61" s="37">
        <v>59</v>
      </c>
      <c r="B61" s="134">
        <v>19</v>
      </c>
      <c r="C61" s="146" t="s">
        <v>56</v>
      </c>
      <c r="D61" s="129" t="s">
        <v>887</v>
      </c>
      <c r="E61" s="129"/>
      <c r="F61" s="138"/>
      <c r="G61" s="135" t="s">
        <v>16</v>
      </c>
      <c r="H61" s="161" t="s">
        <v>158</v>
      </c>
      <c r="K61" s="37" t="s">
        <v>127</v>
      </c>
      <c r="L61" s="73">
        <v>51</v>
      </c>
      <c r="M61" s="179" t="s">
        <v>167</v>
      </c>
      <c r="N61" s="180" t="s">
        <v>168</v>
      </c>
    </row>
    <row r="62" spans="1:16" ht="19" x14ac:dyDescent="0.25">
      <c r="A62" s="37">
        <v>60</v>
      </c>
      <c r="B62" s="129">
        <v>20</v>
      </c>
      <c r="C62" s="153" t="s">
        <v>138</v>
      </c>
      <c r="D62" s="129" t="s">
        <v>887</v>
      </c>
      <c r="E62" s="129"/>
      <c r="F62" s="127"/>
      <c r="G62" s="135" t="s">
        <v>16</v>
      </c>
      <c r="H62" s="161" t="s">
        <v>158</v>
      </c>
      <c r="K62" s="37" t="s">
        <v>127</v>
      </c>
      <c r="L62" s="73">
        <v>52</v>
      </c>
      <c r="M62" s="179" t="s">
        <v>169</v>
      </c>
      <c r="N62" s="180" t="s">
        <v>170</v>
      </c>
    </row>
    <row r="63" spans="1:16" ht="19" x14ac:dyDescent="0.25">
      <c r="A63" s="37">
        <v>61</v>
      </c>
      <c r="B63" s="134">
        <v>21</v>
      </c>
      <c r="C63" s="163" t="s">
        <v>71</v>
      </c>
      <c r="D63" s="129" t="s">
        <v>890</v>
      </c>
      <c r="E63" s="127" t="s">
        <v>15</v>
      </c>
      <c r="F63" s="127" t="s">
        <v>15</v>
      </c>
      <c r="G63" s="135" t="s">
        <v>16</v>
      </c>
      <c r="H63" s="161" t="s">
        <v>158</v>
      </c>
      <c r="K63" s="37" t="s">
        <v>127</v>
      </c>
      <c r="L63" s="73">
        <v>53</v>
      </c>
      <c r="M63" s="179" t="s">
        <v>171</v>
      </c>
      <c r="N63" s="180" t="s">
        <v>172</v>
      </c>
    </row>
    <row r="64" spans="1:16" ht="19" x14ac:dyDescent="0.25">
      <c r="A64" s="37">
        <v>62</v>
      </c>
      <c r="B64" s="129">
        <v>22</v>
      </c>
      <c r="C64" s="146" t="s">
        <v>21</v>
      </c>
      <c r="D64" s="129" t="s">
        <v>887</v>
      </c>
      <c r="E64" s="129"/>
      <c r="F64" s="127"/>
      <c r="G64" s="135" t="s">
        <v>16</v>
      </c>
      <c r="H64" s="161" t="s">
        <v>173</v>
      </c>
      <c r="K64" s="37" t="s">
        <v>127</v>
      </c>
      <c r="L64" s="73">
        <v>54</v>
      </c>
      <c r="M64" s="179" t="s">
        <v>174</v>
      </c>
      <c r="N64" s="180" t="s">
        <v>175</v>
      </c>
    </row>
    <row r="65" spans="1:14" ht="19" x14ac:dyDescent="0.25">
      <c r="A65" s="37">
        <v>63</v>
      </c>
      <c r="B65" s="134">
        <v>23</v>
      </c>
      <c r="C65" s="146" t="s">
        <v>27</v>
      </c>
      <c r="D65" s="129" t="s">
        <v>887</v>
      </c>
      <c r="E65" s="127" t="s">
        <v>15</v>
      </c>
      <c r="F65" s="127" t="s">
        <v>15</v>
      </c>
      <c r="G65" s="135" t="s">
        <v>16</v>
      </c>
      <c r="H65" s="161" t="s">
        <v>173</v>
      </c>
      <c r="K65" s="37" t="s">
        <v>127</v>
      </c>
      <c r="L65" s="73">
        <v>55</v>
      </c>
      <c r="M65" s="179" t="s">
        <v>176</v>
      </c>
      <c r="N65" s="180" t="s">
        <v>177</v>
      </c>
    </row>
    <row r="66" spans="1:14" ht="19" x14ac:dyDescent="0.25">
      <c r="A66" s="37">
        <v>64</v>
      </c>
      <c r="B66" s="129">
        <v>24</v>
      </c>
      <c r="C66" s="162" t="s">
        <v>48</v>
      </c>
      <c r="D66" s="129" t="s">
        <v>885</v>
      </c>
      <c r="E66" s="127" t="s">
        <v>15</v>
      </c>
      <c r="F66" s="127" t="s">
        <v>15</v>
      </c>
      <c r="G66" s="135" t="s">
        <v>16</v>
      </c>
      <c r="H66" s="161" t="s">
        <v>173</v>
      </c>
      <c r="K66" s="37" t="s">
        <v>127</v>
      </c>
      <c r="L66" s="73">
        <v>105</v>
      </c>
      <c r="M66" s="179" t="s">
        <v>178</v>
      </c>
      <c r="N66" s="180" t="s">
        <v>179</v>
      </c>
    </row>
    <row r="67" spans="1:14" ht="19" x14ac:dyDescent="0.25">
      <c r="A67" s="37">
        <v>65</v>
      </c>
      <c r="B67" s="134">
        <v>25</v>
      </c>
      <c r="C67" s="146" t="s">
        <v>36</v>
      </c>
      <c r="D67" s="129" t="s">
        <v>887</v>
      </c>
      <c r="E67" s="127" t="s">
        <v>15</v>
      </c>
      <c r="F67" s="127" t="s">
        <v>15</v>
      </c>
      <c r="G67" s="135" t="s">
        <v>16</v>
      </c>
      <c r="H67" s="161" t="s">
        <v>173</v>
      </c>
      <c r="K67" s="37" t="s">
        <v>127</v>
      </c>
      <c r="L67" s="80">
        <v>56</v>
      </c>
      <c r="M67" s="179" t="s">
        <v>180</v>
      </c>
      <c r="N67" s="180" t="s">
        <v>181</v>
      </c>
    </row>
    <row r="68" spans="1:14" ht="19" x14ac:dyDescent="0.25">
      <c r="A68" s="37">
        <v>66</v>
      </c>
      <c r="B68" s="129">
        <v>26</v>
      </c>
      <c r="C68" s="146" t="s">
        <v>56</v>
      </c>
      <c r="D68" s="129" t="s">
        <v>887</v>
      </c>
      <c r="E68" s="129"/>
      <c r="F68" s="138"/>
      <c r="G68" s="135" t="s">
        <v>16</v>
      </c>
      <c r="H68" s="161" t="s">
        <v>173</v>
      </c>
      <c r="K68" s="37" t="s">
        <v>127</v>
      </c>
      <c r="L68" s="73">
        <v>57</v>
      </c>
      <c r="M68" s="179" t="s">
        <v>182</v>
      </c>
      <c r="N68" s="180" t="s">
        <v>183</v>
      </c>
    </row>
    <row r="69" spans="1:14" ht="19" x14ac:dyDescent="0.25">
      <c r="A69" s="37">
        <v>67</v>
      </c>
      <c r="B69" s="134">
        <v>27</v>
      </c>
      <c r="C69" s="153" t="s">
        <v>138</v>
      </c>
      <c r="D69" s="129" t="s">
        <v>887</v>
      </c>
      <c r="E69" s="129"/>
      <c r="F69" s="127"/>
      <c r="G69" s="135" t="s">
        <v>16</v>
      </c>
      <c r="H69" s="161" t="s">
        <v>173</v>
      </c>
      <c r="K69" s="37" t="s">
        <v>127</v>
      </c>
      <c r="L69" s="73">
        <v>58</v>
      </c>
      <c r="M69" s="179" t="s">
        <v>184</v>
      </c>
      <c r="N69" s="180" t="s">
        <v>185</v>
      </c>
    </row>
    <row r="70" spans="1:14" ht="19" x14ac:dyDescent="0.25">
      <c r="A70" s="37">
        <v>68</v>
      </c>
      <c r="B70" s="129">
        <v>28</v>
      </c>
      <c r="C70" s="163" t="s">
        <v>71</v>
      </c>
      <c r="D70" s="129" t="s">
        <v>890</v>
      </c>
      <c r="E70" s="127" t="s">
        <v>15</v>
      </c>
      <c r="F70" s="127" t="s">
        <v>15</v>
      </c>
      <c r="G70" s="135" t="s">
        <v>16</v>
      </c>
      <c r="H70" s="161" t="s">
        <v>173</v>
      </c>
      <c r="K70" s="37" t="s">
        <v>127</v>
      </c>
      <c r="L70" s="73">
        <v>59</v>
      </c>
      <c r="M70" s="179" t="s">
        <v>186</v>
      </c>
      <c r="N70" s="180" t="s">
        <v>187</v>
      </c>
    </row>
    <row r="71" spans="1:14" ht="19" x14ac:dyDescent="0.25">
      <c r="A71" s="37">
        <v>69</v>
      </c>
      <c r="B71" s="134">
        <v>29</v>
      </c>
      <c r="C71" s="146" t="s">
        <v>21</v>
      </c>
      <c r="D71" s="129" t="s">
        <v>887</v>
      </c>
      <c r="E71" s="129"/>
      <c r="F71" s="127"/>
      <c r="G71" s="135" t="s">
        <v>16</v>
      </c>
      <c r="H71" s="161" t="s">
        <v>188</v>
      </c>
      <c r="K71" s="37" t="s">
        <v>127</v>
      </c>
      <c r="L71" s="73">
        <v>60</v>
      </c>
      <c r="M71" s="179" t="s">
        <v>189</v>
      </c>
      <c r="N71" s="180" t="s">
        <v>190</v>
      </c>
    </row>
    <row r="72" spans="1:14" ht="19" x14ac:dyDescent="0.25">
      <c r="A72" s="37">
        <v>70</v>
      </c>
      <c r="B72" s="129">
        <v>30</v>
      </c>
      <c r="C72" s="146" t="s">
        <v>27</v>
      </c>
      <c r="D72" s="129" t="s">
        <v>887</v>
      </c>
      <c r="E72" s="127" t="s">
        <v>15</v>
      </c>
      <c r="F72" s="127" t="s">
        <v>15</v>
      </c>
      <c r="G72" s="135" t="s">
        <v>16</v>
      </c>
      <c r="H72" s="161" t="s">
        <v>188</v>
      </c>
      <c r="K72" s="37" t="s">
        <v>127</v>
      </c>
      <c r="L72" s="73">
        <v>61</v>
      </c>
      <c r="M72" s="179" t="s">
        <v>191</v>
      </c>
      <c r="N72" s="180" t="s">
        <v>192</v>
      </c>
    </row>
    <row r="73" spans="1:14" ht="19" x14ac:dyDescent="0.25">
      <c r="A73" s="37">
        <v>71</v>
      </c>
      <c r="B73" s="134">
        <v>31</v>
      </c>
      <c r="C73" s="162" t="s">
        <v>48</v>
      </c>
      <c r="D73" s="129" t="s">
        <v>885</v>
      </c>
      <c r="E73" s="127" t="s">
        <v>15</v>
      </c>
      <c r="F73" s="127" t="s">
        <v>15</v>
      </c>
      <c r="G73" s="135" t="s">
        <v>16</v>
      </c>
      <c r="H73" s="161" t="s">
        <v>188</v>
      </c>
      <c r="K73" s="37" t="s">
        <v>127</v>
      </c>
      <c r="L73" s="73">
        <v>106</v>
      </c>
      <c r="M73" s="179" t="s">
        <v>193</v>
      </c>
      <c r="N73" s="180" t="s">
        <v>194</v>
      </c>
    </row>
    <row r="74" spans="1:14" ht="19" x14ac:dyDescent="0.25">
      <c r="A74" s="37">
        <v>72</v>
      </c>
      <c r="B74" s="129">
        <v>32</v>
      </c>
      <c r="C74" s="146" t="s">
        <v>36</v>
      </c>
      <c r="D74" s="129" t="s">
        <v>887</v>
      </c>
      <c r="E74" s="127" t="s">
        <v>15</v>
      </c>
      <c r="F74" s="127" t="s">
        <v>15</v>
      </c>
      <c r="G74" s="135" t="s">
        <v>16</v>
      </c>
      <c r="H74" s="161" t="s">
        <v>188</v>
      </c>
      <c r="K74" s="37" t="s">
        <v>127</v>
      </c>
      <c r="L74" s="73">
        <v>62</v>
      </c>
      <c r="M74" s="179" t="s">
        <v>195</v>
      </c>
      <c r="N74" s="180" t="s">
        <v>196</v>
      </c>
    </row>
    <row r="75" spans="1:14" ht="19" x14ac:dyDescent="0.25">
      <c r="A75" s="37">
        <v>73</v>
      </c>
      <c r="B75" s="134">
        <v>33</v>
      </c>
      <c r="C75" s="146" t="s">
        <v>56</v>
      </c>
      <c r="D75" s="129" t="s">
        <v>887</v>
      </c>
      <c r="E75" s="134"/>
      <c r="F75" s="160"/>
      <c r="G75" s="135" t="s">
        <v>16</v>
      </c>
      <c r="H75" s="161" t="s">
        <v>188</v>
      </c>
      <c r="K75" s="37" t="s">
        <v>127</v>
      </c>
      <c r="L75" s="73">
        <v>63</v>
      </c>
      <c r="M75" s="179" t="s">
        <v>197</v>
      </c>
      <c r="N75" s="180" t="s">
        <v>198</v>
      </c>
    </row>
    <row r="76" spans="1:14" ht="19" x14ac:dyDescent="0.25">
      <c r="A76" s="37">
        <v>74</v>
      </c>
      <c r="B76" s="129">
        <v>34</v>
      </c>
      <c r="C76" s="153" t="s">
        <v>138</v>
      </c>
      <c r="D76" s="129" t="s">
        <v>887</v>
      </c>
      <c r="E76" s="129"/>
      <c r="F76" s="138"/>
      <c r="G76" s="135" t="s">
        <v>16</v>
      </c>
      <c r="H76" s="161" t="s">
        <v>188</v>
      </c>
      <c r="K76" s="37" t="s">
        <v>127</v>
      </c>
      <c r="L76" s="80">
        <v>64</v>
      </c>
      <c r="M76" s="179" t="s">
        <v>199</v>
      </c>
      <c r="N76" s="180" t="s">
        <v>200</v>
      </c>
    </row>
    <row r="77" spans="1:14" ht="19" x14ac:dyDescent="0.25">
      <c r="A77" s="37">
        <v>75</v>
      </c>
      <c r="B77" s="134">
        <v>35</v>
      </c>
      <c r="C77" s="163" t="s">
        <v>71</v>
      </c>
      <c r="D77" s="129" t="s">
        <v>890</v>
      </c>
      <c r="E77" s="127" t="s">
        <v>15</v>
      </c>
      <c r="F77" s="127" t="s">
        <v>15</v>
      </c>
      <c r="G77" s="135" t="s">
        <v>16</v>
      </c>
      <c r="H77" s="161" t="s">
        <v>188</v>
      </c>
      <c r="K77" s="37" t="s">
        <v>127</v>
      </c>
      <c r="L77" s="73">
        <v>65</v>
      </c>
      <c r="M77" s="179" t="s">
        <v>201</v>
      </c>
      <c r="N77" s="180" t="s">
        <v>202</v>
      </c>
    </row>
    <row r="78" spans="1:14" ht="19" x14ac:dyDescent="0.25">
      <c r="A78" s="37">
        <v>76</v>
      </c>
      <c r="B78" s="129">
        <v>36</v>
      </c>
      <c r="C78" s="146" t="s">
        <v>21</v>
      </c>
      <c r="D78" s="129" t="s">
        <v>887</v>
      </c>
      <c r="E78" s="129"/>
      <c r="F78" s="127"/>
      <c r="G78" s="135" t="s">
        <v>16</v>
      </c>
      <c r="H78" s="161" t="s">
        <v>203</v>
      </c>
      <c r="K78" s="37" t="s">
        <v>127</v>
      </c>
      <c r="L78" s="73">
        <v>66</v>
      </c>
      <c r="M78" s="179" t="s">
        <v>204</v>
      </c>
      <c r="N78" s="180" t="s">
        <v>205</v>
      </c>
    </row>
    <row r="79" spans="1:14" ht="19" x14ac:dyDescent="0.25">
      <c r="A79" s="37">
        <v>77</v>
      </c>
      <c r="B79" s="134">
        <v>37</v>
      </c>
      <c r="C79" s="146" t="s">
        <v>27</v>
      </c>
      <c r="D79" s="129" t="s">
        <v>887</v>
      </c>
      <c r="E79" s="127" t="s">
        <v>15</v>
      </c>
      <c r="F79" s="127" t="s">
        <v>15</v>
      </c>
      <c r="G79" s="135" t="s">
        <v>16</v>
      </c>
      <c r="H79" s="161" t="s">
        <v>203</v>
      </c>
      <c r="K79" s="37" t="s">
        <v>127</v>
      </c>
      <c r="L79" s="73">
        <v>67</v>
      </c>
      <c r="M79" s="179" t="s">
        <v>206</v>
      </c>
      <c r="N79" s="180" t="s">
        <v>207</v>
      </c>
    </row>
    <row r="80" spans="1:14" ht="19" x14ac:dyDescent="0.25">
      <c r="A80" s="37">
        <v>78</v>
      </c>
      <c r="B80" s="129">
        <v>38</v>
      </c>
      <c r="C80" s="162" t="s">
        <v>48</v>
      </c>
      <c r="D80" s="129" t="s">
        <v>885</v>
      </c>
      <c r="E80" s="127" t="s">
        <v>15</v>
      </c>
      <c r="F80" s="127" t="s">
        <v>15</v>
      </c>
      <c r="G80" s="135" t="s">
        <v>16</v>
      </c>
      <c r="H80" s="161" t="s">
        <v>203</v>
      </c>
      <c r="K80" s="37" t="s">
        <v>127</v>
      </c>
      <c r="L80" s="73">
        <v>107</v>
      </c>
      <c r="M80" s="179" t="s">
        <v>208</v>
      </c>
      <c r="N80" s="180" t="s">
        <v>209</v>
      </c>
    </row>
    <row r="81" spans="1:14" ht="19" x14ac:dyDescent="0.25">
      <c r="A81" s="37">
        <v>79</v>
      </c>
      <c r="B81" s="134">
        <v>39</v>
      </c>
      <c r="C81" s="146" t="s">
        <v>36</v>
      </c>
      <c r="D81" s="129" t="s">
        <v>887</v>
      </c>
      <c r="E81" s="127" t="s">
        <v>15</v>
      </c>
      <c r="F81" s="127" t="s">
        <v>15</v>
      </c>
      <c r="G81" s="135" t="s">
        <v>16</v>
      </c>
      <c r="H81" s="161" t="s">
        <v>203</v>
      </c>
      <c r="K81" s="37" t="s">
        <v>127</v>
      </c>
      <c r="L81" s="73">
        <v>68</v>
      </c>
      <c r="M81" s="179" t="s">
        <v>210</v>
      </c>
      <c r="N81" s="180" t="s">
        <v>211</v>
      </c>
    </row>
    <row r="82" spans="1:14" ht="19" x14ac:dyDescent="0.25">
      <c r="A82" s="37">
        <v>80</v>
      </c>
      <c r="B82" s="129">
        <v>40</v>
      </c>
      <c r="C82" s="146" t="s">
        <v>56</v>
      </c>
      <c r="D82" s="129" t="s">
        <v>887</v>
      </c>
      <c r="E82" s="129"/>
      <c r="F82" s="165"/>
      <c r="G82" s="135" t="s">
        <v>16</v>
      </c>
      <c r="H82" s="161" t="s">
        <v>203</v>
      </c>
      <c r="K82" s="37" t="s">
        <v>127</v>
      </c>
      <c r="L82" s="73">
        <v>69</v>
      </c>
      <c r="M82" s="179" t="s">
        <v>212</v>
      </c>
      <c r="N82" s="180" t="s">
        <v>213</v>
      </c>
    </row>
    <row r="83" spans="1:14" ht="19" x14ac:dyDescent="0.25">
      <c r="A83" s="37">
        <v>81</v>
      </c>
      <c r="B83" s="134">
        <v>41</v>
      </c>
      <c r="C83" s="153" t="s">
        <v>138</v>
      </c>
      <c r="D83" s="129" t="s">
        <v>887</v>
      </c>
      <c r="E83" s="134"/>
      <c r="F83" s="160"/>
      <c r="G83" s="135" t="s">
        <v>16</v>
      </c>
      <c r="H83" s="161" t="s">
        <v>203</v>
      </c>
      <c r="K83" s="37" t="s">
        <v>127</v>
      </c>
      <c r="L83" s="73">
        <v>70</v>
      </c>
      <c r="M83" s="179" t="s">
        <v>214</v>
      </c>
      <c r="N83" s="180" t="s">
        <v>215</v>
      </c>
    </row>
    <row r="84" spans="1:14" ht="19" x14ac:dyDescent="0.25">
      <c r="A84" s="37">
        <v>82</v>
      </c>
      <c r="B84" s="129">
        <v>42</v>
      </c>
      <c r="C84" s="163" t="s">
        <v>71</v>
      </c>
      <c r="D84" s="129" t="s">
        <v>890</v>
      </c>
      <c r="E84" s="127" t="s">
        <v>15</v>
      </c>
      <c r="F84" s="127" t="s">
        <v>15</v>
      </c>
      <c r="G84" s="135" t="s">
        <v>16</v>
      </c>
      <c r="H84" s="161" t="s">
        <v>203</v>
      </c>
      <c r="K84" s="37" t="s">
        <v>127</v>
      </c>
      <c r="L84" s="73">
        <v>71</v>
      </c>
      <c r="M84" s="179" t="s">
        <v>216</v>
      </c>
      <c r="N84" s="180" t="s">
        <v>217</v>
      </c>
    </row>
    <row r="85" spans="1:14" ht="19" x14ac:dyDescent="0.25">
      <c r="A85" s="37">
        <v>83</v>
      </c>
      <c r="B85" s="134">
        <v>43</v>
      </c>
      <c r="C85" s="146" t="s">
        <v>21</v>
      </c>
      <c r="D85" s="129" t="s">
        <v>887</v>
      </c>
      <c r="E85" s="129"/>
      <c r="F85" s="138"/>
      <c r="G85" s="135" t="s">
        <v>16</v>
      </c>
      <c r="H85" s="161" t="s">
        <v>218</v>
      </c>
      <c r="K85" s="37" t="s">
        <v>127</v>
      </c>
      <c r="L85" s="80">
        <v>72</v>
      </c>
      <c r="M85" s="179" t="s">
        <v>219</v>
      </c>
      <c r="N85" s="180" t="s">
        <v>220</v>
      </c>
    </row>
    <row r="86" spans="1:14" ht="19" x14ac:dyDescent="0.25">
      <c r="A86" s="37">
        <v>84</v>
      </c>
      <c r="B86" s="129">
        <v>44</v>
      </c>
      <c r="C86" s="146" t="s">
        <v>27</v>
      </c>
      <c r="D86" s="129" t="s">
        <v>887</v>
      </c>
      <c r="E86" s="127" t="s">
        <v>15</v>
      </c>
      <c r="F86" s="127" t="s">
        <v>15</v>
      </c>
      <c r="G86" s="135" t="s">
        <v>16</v>
      </c>
      <c r="H86" s="161" t="s">
        <v>218</v>
      </c>
      <c r="K86" s="37" t="s">
        <v>127</v>
      </c>
      <c r="L86" s="73">
        <v>73</v>
      </c>
      <c r="M86" s="179" t="s">
        <v>221</v>
      </c>
      <c r="N86" s="180" t="s">
        <v>222</v>
      </c>
    </row>
    <row r="87" spans="1:14" ht="19" x14ac:dyDescent="0.25">
      <c r="A87" s="37">
        <v>85</v>
      </c>
      <c r="B87" s="134">
        <v>45</v>
      </c>
      <c r="C87" s="162" t="s">
        <v>48</v>
      </c>
      <c r="D87" s="129" t="s">
        <v>885</v>
      </c>
      <c r="E87" s="127" t="s">
        <v>15</v>
      </c>
      <c r="F87" s="127" t="s">
        <v>15</v>
      </c>
      <c r="G87" s="135" t="s">
        <v>16</v>
      </c>
      <c r="H87" s="161" t="s">
        <v>218</v>
      </c>
      <c r="K87" s="37" t="s">
        <v>127</v>
      </c>
      <c r="L87" s="73">
        <v>108</v>
      </c>
      <c r="M87" s="179" t="s">
        <v>223</v>
      </c>
      <c r="N87" s="180" t="s">
        <v>224</v>
      </c>
    </row>
    <row r="88" spans="1:14" ht="19" x14ac:dyDescent="0.25">
      <c r="A88" s="37">
        <v>86</v>
      </c>
      <c r="B88" s="129">
        <v>46</v>
      </c>
      <c r="C88" s="146" t="s">
        <v>36</v>
      </c>
      <c r="D88" s="129" t="s">
        <v>887</v>
      </c>
      <c r="E88" s="127" t="s">
        <v>15</v>
      </c>
      <c r="F88" s="127" t="s">
        <v>15</v>
      </c>
      <c r="G88" s="135" t="s">
        <v>16</v>
      </c>
      <c r="H88" s="161" t="s">
        <v>218</v>
      </c>
      <c r="K88" s="37" t="s">
        <v>127</v>
      </c>
      <c r="L88" s="73">
        <v>74</v>
      </c>
      <c r="M88" s="179" t="s">
        <v>225</v>
      </c>
      <c r="N88" s="180" t="s">
        <v>226</v>
      </c>
    </row>
    <row r="89" spans="1:14" ht="19" x14ac:dyDescent="0.25">
      <c r="A89" s="37">
        <v>87</v>
      </c>
      <c r="B89" s="134">
        <v>47</v>
      </c>
      <c r="C89" s="146" t="s">
        <v>56</v>
      </c>
      <c r="D89" s="129" t="s">
        <v>887</v>
      </c>
      <c r="E89" s="129"/>
      <c r="F89" s="127"/>
      <c r="G89" s="135" t="s">
        <v>16</v>
      </c>
      <c r="H89" s="161" t="s">
        <v>218</v>
      </c>
      <c r="K89" s="37" t="s">
        <v>127</v>
      </c>
      <c r="L89" s="73">
        <v>75</v>
      </c>
      <c r="M89" s="179" t="s">
        <v>227</v>
      </c>
      <c r="N89" s="180" t="s">
        <v>228</v>
      </c>
    </row>
    <row r="90" spans="1:14" ht="19" x14ac:dyDescent="0.25">
      <c r="A90" s="37">
        <v>88</v>
      </c>
      <c r="B90" s="129">
        <v>48</v>
      </c>
      <c r="C90" s="153" t="s">
        <v>138</v>
      </c>
      <c r="D90" s="129" t="s">
        <v>887</v>
      </c>
      <c r="E90" s="166"/>
      <c r="F90" s="167"/>
      <c r="G90" s="135" t="s">
        <v>16</v>
      </c>
      <c r="H90" s="161" t="s">
        <v>218</v>
      </c>
      <c r="K90" s="37" t="s">
        <v>127</v>
      </c>
      <c r="L90" s="73">
        <v>76</v>
      </c>
      <c r="M90" s="179" t="s">
        <v>229</v>
      </c>
      <c r="N90" s="180" t="s">
        <v>230</v>
      </c>
    </row>
    <row r="91" spans="1:14" ht="19" x14ac:dyDescent="0.25">
      <c r="A91" s="37">
        <v>89</v>
      </c>
      <c r="B91" s="134">
        <v>49</v>
      </c>
      <c r="C91" s="163" t="s">
        <v>71</v>
      </c>
      <c r="D91" s="129" t="s">
        <v>890</v>
      </c>
      <c r="E91" s="127" t="s">
        <v>15</v>
      </c>
      <c r="F91" s="127" t="s">
        <v>15</v>
      </c>
      <c r="G91" s="135" t="s">
        <v>16</v>
      </c>
      <c r="H91" s="161" t="s">
        <v>218</v>
      </c>
      <c r="K91" s="37" t="s">
        <v>127</v>
      </c>
      <c r="L91" s="73">
        <v>77</v>
      </c>
      <c r="M91" s="179" t="s">
        <v>231</v>
      </c>
      <c r="N91" s="180" t="s">
        <v>232</v>
      </c>
    </row>
    <row r="92" spans="1:14" ht="19" x14ac:dyDescent="0.25">
      <c r="A92" s="37">
        <v>90</v>
      </c>
      <c r="B92" s="129">
        <v>50</v>
      </c>
      <c r="C92" s="146" t="s">
        <v>21</v>
      </c>
      <c r="D92" s="129" t="s">
        <v>887</v>
      </c>
      <c r="E92" s="129"/>
      <c r="F92" s="129"/>
      <c r="G92" s="135" t="s">
        <v>16</v>
      </c>
      <c r="H92" s="161" t="s">
        <v>233</v>
      </c>
      <c r="K92" s="37" t="s">
        <v>127</v>
      </c>
      <c r="L92" s="73">
        <v>78</v>
      </c>
      <c r="M92" s="179" t="s">
        <v>234</v>
      </c>
      <c r="N92" s="180" t="s">
        <v>235</v>
      </c>
    </row>
    <row r="93" spans="1:14" ht="19" x14ac:dyDescent="0.25">
      <c r="A93" s="37">
        <v>91</v>
      </c>
      <c r="B93" s="134">
        <v>51</v>
      </c>
      <c r="C93" s="146" t="s">
        <v>27</v>
      </c>
      <c r="D93" s="129" t="s">
        <v>887</v>
      </c>
      <c r="E93" s="127" t="s">
        <v>15</v>
      </c>
      <c r="F93" s="127" t="s">
        <v>15</v>
      </c>
      <c r="G93" s="135" t="s">
        <v>16</v>
      </c>
      <c r="H93" s="161" t="s">
        <v>233</v>
      </c>
      <c r="K93" s="37" t="s">
        <v>127</v>
      </c>
      <c r="L93" s="73">
        <v>79</v>
      </c>
      <c r="M93" s="179" t="s">
        <v>236</v>
      </c>
      <c r="N93" s="180" t="s">
        <v>237</v>
      </c>
    </row>
    <row r="94" spans="1:14" ht="19" x14ac:dyDescent="0.25">
      <c r="A94" s="37">
        <v>92</v>
      </c>
      <c r="B94" s="129">
        <v>52</v>
      </c>
      <c r="C94" s="162" t="s">
        <v>48</v>
      </c>
      <c r="D94" s="129" t="s">
        <v>885</v>
      </c>
      <c r="E94" s="127" t="s">
        <v>15</v>
      </c>
      <c r="F94" s="127" t="s">
        <v>15</v>
      </c>
      <c r="G94" s="135" t="s">
        <v>16</v>
      </c>
      <c r="H94" s="161" t="s">
        <v>233</v>
      </c>
      <c r="K94" s="37" t="s">
        <v>127</v>
      </c>
      <c r="L94" s="73">
        <v>109</v>
      </c>
      <c r="M94" s="179" t="s">
        <v>238</v>
      </c>
      <c r="N94" s="180" t="s">
        <v>239</v>
      </c>
    </row>
    <row r="95" spans="1:14" ht="19" x14ac:dyDescent="0.25">
      <c r="A95" s="37">
        <v>93</v>
      </c>
      <c r="B95" s="134">
        <v>53</v>
      </c>
      <c r="C95" s="146" t="s">
        <v>36</v>
      </c>
      <c r="D95" s="129" t="s">
        <v>887</v>
      </c>
      <c r="E95" s="127" t="s">
        <v>15</v>
      </c>
      <c r="F95" s="127" t="s">
        <v>15</v>
      </c>
      <c r="G95" s="135" t="s">
        <v>16</v>
      </c>
      <c r="H95" s="161" t="s">
        <v>233</v>
      </c>
      <c r="K95" s="37" t="s">
        <v>127</v>
      </c>
      <c r="L95" s="80">
        <v>80</v>
      </c>
      <c r="M95" s="179" t="s">
        <v>240</v>
      </c>
      <c r="N95" s="180" t="s">
        <v>241</v>
      </c>
    </row>
    <row r="96" spans="1:14" ht="19" x14ac:dyDescent="0.25">
      <c r="A96" s="37">
        <v>94</v>
      </c>
      <c r="B96" s="129">
        <v>54</v>
      </c>
      <c r="C96" s="146" t="s">
        <v>56</v>
      </c>
      <c r="D96" s="129" t="s">
        <v>887</v>
      </c>
      <c r="E96" s="129"/>
      <c r="F96" s="129"/>
      <c r="G96" s="135" t="s">
        <v>16</v>
      </c>
      <c r="H96" s="161" t="s">
        <v>233</v>
      </c>
      <c r="K96" s="37" t="s">
        <v>127</v>
      </c>
      <c r="L96" s="73">
        <v>81</v>
      </c>
      <c r="M96" s="179" t="s">
        <v>242</v>
      </c>
      <c r="N96" s="180" t="s">
        <v>243</v>
      </c>
    </row>
    <row r="97" spans="1:14" ht="19" x14ac:dyDescent="0.25">
      <c r="A97" s="37">
        <v>95</v>
      </c>
      <c r="B97" s="134">
        <v>55</v>
      </c>
      <c r="C97" s="153" t="s">
        <v>138</v>
      </c>
      <c r="D97" s="129" t="s">
        <v>887</v>
      </c>
      <c r="E97" s="129"/>
      <c r="F97" s="129"/>
      <c r="G97" s="135" t="s">
        <v>16</v>
      </c>
      <c r="H97" s="161" t="s">
        <v>233</v>
      </c>
      <c r="K97" s="37" t="s">
        <v>127</v>
      </c>
      <c r="L97" s="73">
        <v>82</v>
      </c>
      <c r="M97" s="179" t="s">
        <v>244</v>
      </c>
      <c r="N97" s="180" t="s">
        <v>245</v>
      </c>
    </row>
    <row r="98" spans="1:14" ht="19" x14ac:dyDescent="0.25">
      <c r="A98" s="37">
        <v>96</v>
      </c>
      <c r="B98" s="129">
        <v>56</v>
      </c>
      <c r="C98" s="163" t="s">
        <v>71</v>
      </c>
      <c r="D98" s="129" t="s">
        <v>890</v>
      </c>
      <c r="E98" s="127" t="s">
        <v>15</v>
      </c>
      <c r="F98" s="127" t="s">
        <v>15</v>
      </c>
      <c r="G98" s="135" t="s">
        <v>16</v>
      </c>
      <c r="H98" s="161" t="s">
        <v>233</v>
      </c>
      <c r="K98" s="37" t="s">
        <v>127</v>
      </c>
      <c r="L98" s="73">
        <v>83</v>
      </c>
      <c r="M98" s="179" t="s">
        <v>246</v>
      </c>
      <c r="N98" s="180" t="s">
        <v>247</v>
      </c>
    </row>
    <row r="99" spans="1:14" ht="16" x14ac:dyDescent="0.2">
      <c r="A99" s="37">
        <v>97</v>
      </c>
      <c r="B99" s="37">
        <v>57</v>
      </c>
      <c r="C99" s="37" t="s">
        <v>248</v>
      </c>
      <c r="D99" s="37" t="s">
        <v>892</v>
      </c>
      <c r="K99" s="37" t="s">
        <v>127</v>
      </c>
      <c r="L99" s="73">
        <v>84</v>
      </c>
      <c r="M99" s="179" t="s">
        <v>249</v>
      </c>
      <c r="N99" s="180" t="s">
        <v>250</v>
      </c>
    </row>
    <row r="100" spans="1:14" ht="16" x14ac:dyDescent="0.2">
      <c r="A100" s="37">
        <v>98</v>
      </c>
      <c r="C100" s="37" t="s">
        <v>251</v>
      </c>
      <c r="D100" s="37" t="s">
        <v>888</v>
      </c>
      <c r="L100" s="73">
        <v>85</v>
      </c>
      <c r="M100" s="179" t="s">
        <v>252</v>
      </c>
      <c r="N100" s="180" t="s">
        <v>253</v>
      </c>
    </row>
    <row r="101" spans="1:14" ht="16" x14ac:dyDescent="0.2">
      <c r="A101" s="37">
        <v>99</v>
      </c>
      <c r="C101" s="186" t="s">
        <v>254</v>
      </c>
      <c r="D101" s="37" t="s">
        <v>886</v>
      </c>
      <c r="L101" s="73">
        <v>110</v>
      </c>
      <c r="M101" s="179" t="s">
        <v>255</v>
      </c>
      <c r="N101" s="180" t="s">
        <v>256</v>
      </c>
    </row>
  </sheetData>
  <dataValidations count="1">
    <dataValidation type="list" allowBlank="1" showInputMessage="1" showErrorMessage="1" sqref="D3:D101" xr:uid="{E95AC029-BC86-D24B-BD0A-3D7DD13EA19D}">
      <formula1>$P$46:$P$53</formula1>
    </dataValidation>
  </dataValidations>
  <pageMargins left="0.7" right="0.7" top="0.75" bottom="0.7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D36A-B9F7-48D9-B140-4A7947CEF7CD}">
  <dimension ref="A1:F1000"/>
  <sheetViews>
    <sheetView topLeftCell="A94" workbookViewId="0">
      <selection activeCell="E111" sqref="E111:F111"/>
    </sheetView>
  </sheetViews>
  <sheetFormatPr baseColWidth="10" defaultColWidth="9.1640625" defaultRowHeight="14" x14ac:dyDescent="0.2"/>
  <cols>
    <col min="1" max="1" width="16.1640625" style="179" customWidth="1"/>
    <col min="2" max="2" width="18" style="179" bestFit="1" customWidth="1"/>
    <col min="3" max="3" width="19" style="179" customWidth="1"/>
    <col min="4" max="4" width="24" style="179" bestFit="1" customWidth="1"/>
    <col min="5" max="5" width="53.83203125" style="179" bestFit="1" customWidth="1"/>
    <col min="6" max="6" width="56.5" style="179" customWidth="1"/>
    <col min="7" max="7" width="28.5" style="179" bestFit="1" customWidth="1"/>
    <col min="8" max="16384" width="9.1640625" style="179"/>
  </cols>
  <sheetData>
    <row r="1" spans="1:6" s="177" customFormat="1" x14ac:dyDescent="0.2">
      <c r="A1" s="177" t="s">
        <v>257</v>
      </c>
      <c r="B1" s="177" t="s">
        <v>258</v>
      </c>
      <c r="C1" s="177" t="s">
        <v>259</v>
      </c>
      <c r="E1" s="177" t="s">
        <v>12</v>
      </c>
      <c r="F1" s="177" t="s">
        <v>13</v>
      </c>
    </row>
    <row r="2" spans="1:6" ht="16" x14ac:dyDescent="0.2">
      <c r="A2" s="178">
        <v>1</v>
      </c>
      <c r="B2" s="179">
        <v>1</v>
      </c>
      <c r="C2" s="179" t="s">
        <v>260</v>
      </c>
      <c r="D2" s="179">
        <v>1</v>
      </c>
      <c r="E2" s="179" t="s">
        <v>22</v>
      </c>
      <c r="F2" s="180" t="s">
        <v>23</v>
      </c>
    </row>
    <row r="3" spans="1:6" ht="16" x14ac:dyDescent="0.2">
      <c r="A3" s="178">
        <v>2</v>
      </c>
      <c r="B3" s="179">
        <v>1</v>
      </c>
      <c r="C3" s="179" t="s">
        <v>261</v>
      </c>
      <c r="D3" s="179">
        <v>1</v>
      </c>
      <c r="E3" s="179" t="s">
        <v>25</v>
      </c>
      <c r="F3" s="180" t="s">
        <v>26</v>
      </c>
    </row>
    <row r="4" spans="1:6" ht="16" x14ac:dyDescent="0.2">
      <c r="A4" s="178">
        <v>3</v>
      </c>
      <c r="B4" s="179">
        <v>1</v>
      </c>
      <c r="C4" s="179" t="s">
        <v>262</v>
      </c>
      <c r="D4" s="179">
        <v>1</v>
      </c>
      <c r="E4" s="179" t="s">
        <v>28</v>
      </c>
      <c r="F4" s="180" t="s">
        <v>29</v>
      </c>
    </row>
    <row r="5" spans="1:6" ht="16" x14ac:dyDescent="0.2">
      <c r="A5" s="178">
        <v>4</v>
      </c>
      <c r="B5" s="179">
        <v>1</v>
      </c>
      <c r="C5" s="179" t="s">
        <v>263</v>
      </c>
      <c r="D5" s="179">
        <v>1</v>
      </c>
      <c r="E5" s="179" t="s">
        <v>31</v>
      </c>
      <c r="F5" s="180" t="s">
        <v>32</v>
      </c>
    </row>
    <row r="6" spans="1:6" ht="16" x14ac:dyDescent="0.2">
      <c r="A6" s="178">
        <v>5</v>
      </c>
      <c r="B6" s="179">
        <v>1</v>
      </c>
      <c r="C6" s="179" t="s">
        <v>264</v>
      </c>
      <c r="D6" s="179">
        <v>1</v>
      </c>
      <c r="E6" s="179" t="s">
        <v>34</v>
      </c>
      <c r="F6" s="180" t="s">
        <v>35</v>
      </c>
    </row>
    <row r="7" spans="1:6" ht="16" x14ac:dyDescent="0.2">
      <c r="A7" s="178">
        <v>6</v>
      </c>
      <c r="B7" s="179">
        <v>1</v>
      </c>
      <c r="C7" s="179" t="s">
        <v>265</v>
      </c>
      <c r="D7" s="179">
        <v>1</v>
      </c>
      <c r="E7" s="179" t="s">
        <v>38</v>
      </c>
      <c r="F7" s="180" t="s">
        <v>39</v>
      </c>
    </row>
    <row r="8" spans="1:6" ht="16" x14ac:dyDescent="0.2">
      <c r="A8" s="178">
        <v>7</v>
      </c>
      <c r="B8" s="179">
        <v>1</v>
      </c>
      <c r="C8" s="179" t="s">
        <v>266</v>
      </c>
      <c r="D8" s="179">
        <v>1</v>
      </c>
      <c r="E8" s="179" t="s">
        <v>42</v>
      </c>
      <c r="F8" s="180" t="s">
        <v>43</v>
      </c>
    </row>
    <row r="9" spans="1:6" ht="16" x14ac:dyDescent="0.2">
      <c r="A9" s="181">
        <v>8</v>
      </c>
      <c r="B9" s="179">
        <v>1</v>
      </c>
      <c r="C9" s="179" t="s">
        <v>267</v>
      </c>
      <c r="D9" s="179">
        <v>1</v>
      </c>
      <c r="E9" s="179" t="s">
        <v>45</v>
      </c>
      <c r="F9" s="180" t="s">
        <v>46</v>
      </c>
    </row>
    <row r="10" spans="1:6" ht="16" x14ac:dyDescent="0.2">
      <c r="A10" s="178">
        <v>9</v>
      </c>
      <c r="B10" s="179">
        <v>1</v>
      </c>
      <c r="C10" s="179" t="s">
        <v>260</v>
      </c>
      <c r="D10" s="179">
        <v>2</v>
      </c>
      <c r="E10" s="179" t="s">
        <v>53</v>
      </c>
      <c r="F10" s="180" t="s">
        <v>54</v>
      </c>
    </row>
    <row r="11" spans="1:6" ht="16" x14ac:dyDescent="0.2">
      <c r="A11" s="178">
        <v>10</v>
      </c>
      <c r="B11" s="179">
        <v>1</v>
      </c>
      <c r="C11" s="179" t="s">
        <v>261</v>
      </c>
      <c r="D11" s="179">
        <v>2</v>
      </c>
      <c r="E11" s="179" t="s">
        <v>57</v>
      </c>
      <c r="F11" s="180" t="s">
        <v>58</v>
      </c>
    </row>
    <row r="12" spans="1:6" ht="16" x14ac:dyDescent="0.2">
      <c r="A12" s="178">
        <v>11</v>
      </c>
      <c r="B12" s="179">
        <v>1</v>
      </c>
      <c r="C12" s="179" t="s">
        <v>262</v>
      </c>
      <c r="D12" s="179">
        <v>2</v>
      </c>
      <c r="E12" s="179" t="s">
        <v>60</v>
      </c>
      <c r="F12" s="180" t="s">
        <v>61</v>
      </c>
    </row>
    <row r="13" spans="1:6" ht="16" x14ac:dyDescent="0.2">
      <c r="A13" s="178">
        <v>12</v>
      </c>
      <c r="B13" s="179">
        <v>1</v>
      </c>
      <c r="C13" s="179" t="s">
        <v>263</v>
      </c>
      <c r="D13" s="179">
        <v>2</v>
      </c>
      <c r="E13" s="179" t="s">
        <v>63</v>
      </c>
      <c r="F13" s="180" t="s">
        <v>64</v>
      </c>
    </row>
    <row r="14" spans="1:6" ht="16" x14ac:dyDescent="0.2">
      <c r="A14" s="178">
        <v>13</v>
      </c>
      <c r="B14" s="179">
        <v>1</v>
      </c>
      <c r="C14" s="179" t="s">
        <v>264</v>
      </c>
      <c r="D14" s="179">
        <v>2</v>
      </c>
      <c r="E14" s="179" t="s">
        <v>66</v>
      </c>
      <c r="F14" s="180" t="s">
        <v>67</v>
      </c>
    </row>
    <row r="15" spans="1:6" ht="16" x14ac:dyDescent="0.2">
      <c r="A15" s="178">
        <v>14</v>
      </c>
      <c r="B15" s="179">
        <v>1</v>
      </c>
      <c r="C15" s="179" t="s">
        <v>265</v>
      </c>
      <c r="D15" s="179">
        <v>2</v>
      </c>
      <c r="E15" s="179" t="s">
        <v>69</v>
      </c>
      <c r="F15" s="180" t="s">
        <v>70</v>
      </c>
    </row>
    <row r="16" spans="1:6" ht="16" x14ac:dyDescent="0.2">
      <c r="A16" s="178">
        <v>15</v>
      </c>
      <c r="B16" s="179">
        <v>1</v>
      </c>
      <c r="C16" s="179" t="s">
        <v>266</v>
      </c>
      <c r="D16" s="179">
        <v>2</v>
      </c>
      <c r="E16" s="179" t="s">
        <v>72</v>
      </c>
      <c r="F16" s="180" t="s">
        <v>73</v>
      </c>
    </row>
    <row r="17" spans="1:6" ht="16" x14ac:dyDescent="0.2">
      <c r="A17" s="181">
        <v>16</v>
      </c>
      <c r="B17" s="179">
        <v>1</v>
      </c>
      <c r="C17" s="179" t="s">
        <v>267</v>
      </c>
      <c r="D17" s="179">
        <v>2</v>
      </c>
      <c r="E17" s="179" t="s">
        <v>78</v>
      </c>
      <c r="F17" s="180" t="s">
        <v>79</v>
      </c>
    </row>
    <row r="18" spans="1:6" ht="16" x14ac:dyDescent="0.2">
      <c r="A18" s="178">
        <v>17</v>
      </c>
      <c r="B18" s="179">
        <v>1</v>
      </c>
      <c r="C18" s="179" t="s">
        <v>260</v>
      </c>
      <c r="D18" s="179">
        <v>3</v>
      </c>
      <c r="E18" s="179" t="s">
        <v>80</v>
      </c>
      <c r="F18" s="180" t="s">
        <v>81</v>
      </c>
    </row>
    <row r="19" spans="1:6" ht="16" x14ac:dyDescent="0.2">
      <c r="A19" s="178">
        <v>18</v>
      </c>
      <c r="B19" s="179">
        <v>1</v>
      </c>
      <c r="C19" s="179" t="s">
        <v>261</v>
      </c>
      <c r="D19" s="179">
        <v>3</v>
      </c>
      <c r="E19" s="179" t="s">
        <v>82</v>
      </c>
      <c r="F19" s="180" t="s">
        <v>83</v>
      </c>
    </row>
    <row r="20" spans="1:6" ht="16" x14ac:dyDescent="0.2">
      <c r="A20" s="178">
        <v>19</v>
      </c>
      <c r="B20" s="179">
        <v>1</v>
      </c>
      <c r="C20" s="179" t="s">
        <v>262</v>
      </c>
      <c r="D20" s="179">
        <v>3</v>
      </c>
      <c r="E20" s="179" t="s">
        <v>84</v>
      </c>
      <c r="F20" s="180" t="s">
        <v>85</v>
      </c>
    </row>
    <row r="21" spans="1:6" ht="16" x14ac:dyDescent="0.2">
      <c r="A21" s="178">
        <v>20</v>
      </c>
      <c r="B21" s="179">
        <v>1</v>
      </c>
      <c r="C21" s="179" t="s">
        <v>263</v>
      </c>
      <c r="D21" s="179">
        <v>3</v>
      </c>
      <c r="E21" s="179" t="s">
        <v>86</v>
      </c>
      <c r="F21" s="180" t="s">
        <v>87</v>
      </c>
    </row>
    <row r="22" spans="1:6" ht="16" x14ac:dyDescent="0.2">
      <c r="A22" s="178">
        <v>21</v>
      </c>
      <c r="B22" s="179">
        <v>1</v>
      </c>
      <c r="C22" s="179" t="s">
        <v>264</v>
      </c>
      <c r="D22" s="179">
        <v>3</v>
      </c>
      <c r="E22" s="179" t="s">
        <v>88</v>
      </c>
      <c r="F22" s="180" t="s">
        <v>89</v>
      </c>
    </row>
    <row r="23" spans="1:6" ht="16" x14ac:dyDescent="0.2">
      <c r="A23" s="178">
        <v>22</v>
      </c>
      <c r="B23" s="179">
        <v>1</v>
      </c>
      <c r="C23" s="179" t="s">
        <v>265</v>
      </c>
      <c r="D23" s="179">
        <v>3</v>
      </c>
      <c r="E23" s="179" t="s">
        <v>94</v>
      </c>
      <c r="F23" s="180" t="s">
        <v>95</v>
      </c>
    </row>
    <row r="24" spans="1:6" ht="16" x14ac:dyDescent="0.2">
      <c r="A24" s="178">
        <v>23</v>
      </c>
      <c r="B24" s="179">
        <v>1</v>
      </c>
      <c r="C24" s="179" t="s">
        <v>266</v>
      </c>
      <c r="D24" s="179">
        <v>3</v>
      </c>
      <c r="E24" s="179" t="s">
        <v>96</v>
      </c>
      <c r="F24" s="180" t="s">
        <v>97</v>
      </c>
    </row>
    <row r="25" spans="1:6" ht="16" x14ac:dyDescent="0.2">
      <c r="A25" s="181">
        <v>24</v>
      </c>
      <c r="B25" s="179">
        <v>1</v>
      </c>
      <c r="C25" s="179" t="s">
        <v>267</v>
      </c>
      <c r="D25" s="179">
        <v>3</v>
      </c>
      <c r="E25" s="179" t="s">
        <v>98</v>
      </c>
      <c r="F25" s="180" t="s">
        <v>99</v>
      </c>
    </row>
    <row r="26" spans="1:6" ht="16" x14ac:dyDescent="0.2">
      <c r="A26" s="178">
        <v>25</v>
      </c>
      <c r="B26" s="179">
        <v>1</v>
      </c>
      <c r="C26" s="179" t="s">
        <v>260</v>
      </c>
      <c r="D26" s="179">
        <v>4</v>
      </c>
      <c r="E26" s="179" t="s">
        <v>100</v>
      </c>
      <c r="F26" s="180" t="s">
        <v>101</v>
      </c>
    </row>
    <row r="27" spans="1:6" ht="16" x14ac:dyDescent="0.2">
      <c r="A27" s="178">
        <v>26</v>
      </c>
      <c r="B27" s="179">
        <v>1</v>
      </c>
      <c r="C27" s="179" t="s">
        <v>261</v>
      </c>
      <c r="D27" s="179">
        <v>4</v>
      </c>
      <c r="E27" s="179" t="s">
        <v>103</v>
      </c>
      <c r="F27" s="180" t="s">
        <v>104</v>
      </c>
    </row>
    <row r="28" spans="1:6" ht="16" x14ac:dyDescent="0.2">
      <c r="A28" s="178">
        <v>27</v>
      </c>
      <c r="B28" s="179">
        <v>1</v>
      </c>
      <c r="C28" s="179" t="s">
        <v>262</v>
      </c>
      <c r="D28" s="179">
        <v>4</v>
      </c>
      <c r="E28" s="179" t="s">
        <v>105</v>
      </c>
      <c r="F28" s="180" t="s">
        <v>106</v>
      </c>
    </row>
    <row r="29" spans="1:6" ht="16" x14ac:dyDescent="0.2">
      <c r="A29" s="178">
        <v>28</v>
      </c>
      <c r="B29" s="179">
        <v>1</v>
      </c>
      <c r="C29" s="179" t="s">
        <v>263</v>
      </c>
      <c r="D29" s="179">
        <v>4</v>
      </c>
      <c r="E29" s="179" t="s">
        <v>107</v>
      </c>
      <c r="F29" s="180" t="s">
        <v>108</v>
      </c>
    </row>
    <row r="30" spans="1:6" ht="16" x14ac:dyDescent="0.2">
      <c r="A30" s="178">
        <v>29</v>
      </c>
      <c r="B30" s="179">
        <v>1</v>
      </c>
      <c r="C30" s="179" t="s">
        <v>264</v>
      </c>
      <c r="D30" s="179">
        <v>4</v>
      </c>
      <c r="E30" s="179" t="s">
        <v>112</v>
      </c>
      <c r="F30" s="180" t="s">
        <v>113</v>
      </c>
    </row>
    <row r="31" spans="1:6" ht="16" x14ac:dyDescent="0.2">
      <c r="A31" s="178">
        <v>30</v>
      </c>
      <c r="B31" s="179">
        <v>1</v>
      </c>
      <c r="C31" s="179" t="s">
        <v>265</v>
      </c>
      <c r="D31" s="179">
        <v>4</v>
      </c>
      <c r="E31" s="179" t="s">
        <v>114</v>
      </c>
      <c r="F31" s="180" t="s">
        <v>115</v>
      </c>
    </row>
    <row r="32" spans="1:6" ht="16" x14ac:dyDescent="0.2">
      <c r="A32" s="178">
        <v>31</v>
      </c>
      <c r="B32" s="179">
        <v>1</v>
      </c>
      <c r="C32" s="179" t="s">
        <v>266</v>
      </c>
      <c r="D32" s="179">
        <v>4</v>
      </c>
      <c r="E32" s="179" t="s">
        <v>116</v>
      </c>
      <c r="F32" s="180" t="s">
        <v>117</v>
      </c>
    </row>
    <row r="33" spans="1:6" ht="16" x14ac:dyDescent="0.2">
      <c r="A33" s="181">
        <v>32</v>
      </c>
      <c r="B33" s="179">
        <v>1</v>
      </c>
      <c r="C33" s="179" t="s">
        <v>267</v>
      </c>
      <c r="D33" s="179">
        <v>4</v>
      </c>
      <c r="E33" s="179" t="s">
        <v>118</v>
      </c>
      <c r="F33" s="180" t="s">
        <v>119</v>
      </c>
    </row>
    <row r="34" spans="1:6" ht="16" x14ac:dyDescent="0.2">
      <c r="A34" s="178">
        <v>33</v>
      </c>
      <c r="B34" s="179">
        <v>1</v>
      </c>
      <c r="C34" s="179" t="s">
        <v>260</v>
      </c>
      <c r="D34" s="179">
        <v>5</v>
      </c>
      <c r="E34" s="179" t="s">
        <v>120</v>
      </c>
      <c r="F34" s="180" t="s">
        <v>121</v>
      </c>
    </row>
    <row r="35" spans="1:6" ht="16" x14ac:dyDescent="0.2">
      <c r="A35" s="178">
        <v>34</v>
      </c>
      <c r="B35" s="179">
        <v>1</v>
      </c>
      <c r="C35" s="179" t="s">
        <v>261</v>
      </c>
      <c r="D35" s="179">
        <v>5</v>
      </c>
      <c r="E35" s="179" t="s">
        <v>122</v>
      </c>
      <c r="F35" s="180" t="s">
        <v>123</v>
      </c>
    </row>
    <row r="36" spans="1:6" ht="16" x14ac:dyDescent="0.2">
      <c r="A36" s="178">
        <v>35</v>
      </c>
      <c r="B36" s="179">
        <v>1</v>
      </c>
      <c r="C36" s="179" t="s">
        <v>262</v>
      </c>
      <c r="D36" s="179">
        <v>5</v>
      </c>
      <c r="E36" s="179" t="s">
        <v>124</v>
      </c>
      <c r="F36" s="180" t="s">
        <v>125</v>
      </c>
    </row>
    <row r="37" spans="1:6" ht="16" x14ac:dyDescent="0.2">
      <c r="A37" s="178">
        <v>36</v>
      </c>
      <c r="B37" s="179">
        <v>1</v>
      </c>
      <c r="C37" s="179" t="s">
        <v>263</v>
      </c>
      <c r="D37" s="179">
        <v>5</v>
      </c>
      <c r="E37" s="179" t="s">
        <v>128</v>
      </c>
      <c r="F37" s="180" t="s">
        <v>129</v>
      </c>
    </row>
    <row r="38" spans="1:6" ht="16" x14ac:dyDescent="0.2">
      <c r="A38" s="178">
        <v>37</v>
      </c>
      <c r="B38" s="179">
        <v>1</v>
      </c>
      <c r="C38" s="179" t="s">
        <v>264</v>
      </c>
      <c r="D38" s="179">
        <v>5</v>
      </c>
      <c r="E38" s="179" t="s">
        <v>130</v>
      </c>
      <c r="F38" s="180" t="s">
        <v>131</v>
      </c>
    </row>
    <row r="39" spans="1:6" ht="16" x14ac:dyDescent="0.2">
      <c r="A39" s="178">
        <v>38</v>
      </c>
      <c r="B39" s="179">
        <v>1</v>
      </c>
      <c r="C39" s="179" t="s">
        <v>265</v>
      </c>
      <c r="D39" s="179">
        <v>5</v>
      </c>
      <c r="E39" s="179" t="s">
        <v>134</v>
      </c>
      <c r="F39" s="180" t="s">
        <v>135</v>
      </c>
    </row>
    <row r="40" spans="1:6" ht="16" x14ac:dyDescent="0.2">
      <c r="A40" s="178">
        <v>39</v>
      </c>
      <c r="B40" s="179">
        <v>1</v>
      </c>
      <c r="C40" s="179" t="s">
        <v>266</v>
      </c>
      <c r="D40" s="179">
        <v>5</v>
      </c>
      <c r="E40" s="179" t="s">
        <v>136</v>
      </c>
      <c r="F40" s="180" t="s">
        <v>137</v>
      </c>
    </row>
    <row r="41" spans="1:6" ht="16" x14ac:dyDescent="0.2">
      <c r="A41" s="181">
        <v>40</v>
      </c>
      <c r="B41" s="179">
        <v>1</v>
      </c>
      <c r="C41" s="179" t="s">
        <v>267</v>
      </c>
      <c r="D41" s="179">
        <v>5</v>
      </c>
      <c r="E41" s="179" t="s">
        <v>139</v>
      </c>
      <c r="F41" s="180" t="s">
        <v>140</v>
      </c>
    </row>
    <row r="42" spans="1:6" ht="16" x14ac:dyDescent="0.2">
      <c r="A42" s="178">
        <v>41</v>
      </c>
      <c r="B42" s="179">
        <v>1</v>
      </c>
      <c r="C42" s="179" t="s">
        <v>260</v>
      </c>
      <c r="D42" s="179">
        <v>6</v>
      </c>
      <c r="E42" s="179" t="s">
        <v>141</v>
      </c>
      <c r="F42" s="180" t="s">
        <v>142</v>
      </c>
    </row>
    <row r="43" spans="1:6" ht="16" x14ac:dyDescent="0.2">
      <c r="A43" s="178">
        <v>42</v>
      </c>
      <c r="B43" s="179">
        <v>1</v>
      </c>
      <c r="C43" s="179" t="s">
        <v>261</v>
      </c>
      <c r="D43" s="179">
        <v>6</v>
      </c>
      <c r="E43" s="179" t="s">
        <v>144</v>
      </c>
      <c r="F43" s="180" t="s">
        <v>145</v>
      </c>
    </row>
    <row r="44" spans="1:6" ht="16" x14ac:dyDescent="0.2">
      <c r="A44" s="178">
        <v>43</v>
      </c>
      <c r="B44" s="179">
        <v>1</v>
      </c>
      <c r="C44" s="179" t="s">
        <v>262</v>
      </c>
      <c r="D44" s="179">
        <v>6</v>
      </c>
      <c r="E44" s="179" t="s">
        <v>146</v>
      </c>
      <c r="F44" s="180" t="s">
        <v>147</v>
      </c>
    </row>
    <row r="45" spans="1:6" ht="16" x14ac:dyDescent="0.2">
      <c r="A45" s="178">
        <v>44</v>
      </c>
      <c r="B45" s="179">
        <v>1</v>
      </c>
      <c r="C45" s="179" t="s">
        <v>263</v>
      </c>
      <c r="D45" s="179">
        <v>6</v>
      </c>
      <c r="E45" s="179" t="s">
        <v>150</v>
      </c>
      <c r="F45" s="180" t="s">
        <v>151</v>
      </c>
    </row>
    <row r="46" spans="1:6" ht="16" x14ac:dyDescent="0.2">
      <c r="A46" s="178">
        <v>45</v>
      </c>
      <c r="B46" s="179">
        <v>1</v>
      </c>
      <c r="C46" s="179" t="s">
        <v>264</v>
      </c>
      <c r="D46" s="179">
        <v>6</v>
      </c>
      <c r="E46" s="179" t="s">
        <v>152</v>
      </c>
      <c r="F46" s="180" t="s">
        <v>153</v>
      </c>
    </row>
    <row r="47" spans="1:6" ht="16" x14ac:dyDescent="0.2">
      <c r="A47" s="178">
        <v>46</v>
      </c>
      <c r="B47" s="179">
        <v>1</v>
      </c>
      <c r="C47" s="179" t="s">
        <v>265</v>
      </c>
      <c r="D47" s="179">
        <v>6</v>
      </c>
      <c r="E47" s="179" t="s">
        <v>154</v>
      </c>
      <c r="F47" s="180" t="s">
        <v>155</v>
      </c>
    </row>
    <row r="48" spans="1:6" ht="16" x14ac:dyDescent="0.2">
      <c r="A48" s="178">
        <v>47</v>
      </c>
      <c r="B48" s="179">
        <v>1</v>
      </c>
      <c r="C48" s="179" t="s">
        <v>266</v>
      </c>
      <c r="D48" s="179">
        <v>6</v>
      </c>
      <c r="E48" s="179" t="s">
        <v>156</v>
      </c>
      <c r="F48" s="180" t="s">
        <v>157</v>
      </c>
    </row>
    <row r="49" spans="1:6" ht="16" x14ac:dyDescent="0.2">
      <c r="A49" s="181">
        <v>48</v>
      </c>
      <c r="B49" s="179">
        <v>1</v>
      </c>
      <c r="C49" s="179" t="s">
        <v>267</v>
      </c>
      <c r="D49" s="179">
        <v>6</v>
      </c>
      <c r="E49" s="179" t="s">
        <v>159</v>
      </c>
      <c r="F49" s="180" t="s">
        <v>160</v>
      </c>
    </row>
    <row r="50" spans="1:6" ht="16" x14ac:dyDescent="0.2">
      <c r="A50" s="178">
        <v>49</v>
      </c>
      <c r="B50" s="179">
        <v>1</v>
      </c>
      <c r="C50" s="179" t="s">
        <v>260</v>
      </c>
      <c r="D50" s="179">
        <v>7</v>
      </c>
      <c r="E50" s="179" t="s">
        <v>161</v>
      </c>
      <c r="F50" s="180" t="s">
        <v>162</v>
      </c>
    </row>
    <row r="51" spans="1:6" ht="16" x14ac:dyDescent="0.2">
      <c r="A51" s="178">
        <v>50</v>
      </c>
      <c r="B51" s="179">
        <v>1</v>
      </c>
      <c r="C51" s="179" t="s">
        <v>261</v>
      </c>
      <c r="D51" s="179">
        <v>7</v>
      </c>
      <c r="E51" s="179" t="s">
        <v>165</v>
      </c>
      <c r="F51" s="180" t="s">
        <v>166</v>
      </c>
    </row>
    <row r="52" spans="1:6" ht="16" x14ac:dyDescent="0.2">
      <c r="A52" s="178">
        <v>51</v>
      </c>
      <c r="B52" s="179">
        <v>1</v>
      </c>
      <c r="C52" s="179" t="s">
        <v>262</v>
      </c>
      <c r="D52" s="179">
        <v>7</v>
      </c>
      <c r="E52" s="179" t="s">
        <v>167</v>
      </c>
      <c r="F52" s="180" t="s">
        <v>168</v>
      </c>
    </row>
    <row r="53" spans="1:6" ht="16" x14ac:dyDescent="0.2">
      <c r="A53" s="178">
        <v>52</v>
      </c>
      <c r="B53" s="179">
        <v>1</v>
      </c>
      <c r="C53" s="179" t="s">
        <v>263</v>
      </c>
      <c r="D53" s="179">
        <v>7</v>
      </c>
      <c r="E53" s="179" t="s">
        <v>169</v>
      </c>
      <c r="F53" s="180" t="s">
        <v>170</v>
      </c>
    </row>
    <row r="54" spans="1:6" ht="16" x14ac:dyDescent="0.2">
      <c r="A54" s="178">
        <v>53</v>
      </c>
      <c r="B54" s="179">
        <v>1</v>
      </c>
      <c r="C54" s="179" t="s">
        <v>264</v>
      </c>
      <c r="D54" s="179">
        <v>7</v>
      </c>
      <c r="E54" s="179" t="s">
        <v>171</v>
      </c>
      <c r="F54" s="180" t="s">
        <v>172</v>
      </c>
    </row>
    <row r="55" spans="1:6" ht="16" x14ac:dyDescent="0.2">
      <c r="A55" s="178">
        <v>54</v>
      </c>
      <c r="B55" s="179">
        <v>1</v>
      </c>
      <c r="C55" s="179" t="s">
        <v>265</v>
      </c>
      <c r="D55" s="179">
        <v>7</v>
      </c>
      <c r="E55" s="179" t="s">
        <v>174</v>
      </c>
      <c r="F55" s="180" t="s">
        <v>175</v>
      </c>
    </row>
    <row r="56" spans="1:6" ht="16" x14ac:dyDescent="0.2">
      <c r="A56" s="178">
        <v>55</v>
      </c>
      <c r="B56" s="179">
        <v>1</v>
      </c>
      <c r="C56" s="179" t="s">
        <v>266</v>
      </c>
      <c r="D56" s="179">
        <v>7</v>
      </c>
      <c r="E56" s="179" t="s">
        <v>176</v>
      </c>
      <c r="F56" s="180" t="s">
        <v>177</v>
      </c>
    </row>
    <row r="57" spans="1:6" ht="16" x14ac:dyDescent="0.2">
      <c r="A57" s="181">
        <v>56</v>
      </c>
      <c r="B57" s="179">
        <v>1</v>
      </c>
      <c r="C57" s="179" t="s">
        <v>267</v>
      </c>
      <c r="D57" s="179">
        <v>7</v>
      </c>
      <c r="E57" s="179" t="s">
        <v>180</v>
      </c>
      <c r="F57" s="180" t="s">
        <v>181</v>
      </c>
    </row>
    <row r="58" spans="1:6" ht="16" x14ac:dyDescent="0.2">
      <c r="A58" s="178">
        <v>57</v>
      </c>
      <c r="B58" s="179">
        <v>1</v>
      </c>
      <c r="C58" s="179" t="s">
        <v>260</v>
      </c>
      <c r="D58" s="179">
        <v>8</v>
      </c>
      <c r="E58" s="179" t="s">
        <v>182</v>
      </c>
      <c r="F58" s="180" t="s">
        <v>183</v>
      </c>
    </row>
    <row r="59" spans="1:6" ht="16" x14ac:dyDescent="0.2">
      <c r="A59" s="178">
        <v>58</v>
      </c>
      <c r="B59" s="179">
        <v>1</v>
      </c>
      <c r="C59" s="179" t="s">
        <v>261</v>
      </c>
      <c r="D59" s="179">
        <v>8</v>
      </c>
      <c r="E59" s="179" t="s">
        <v>184</v>
      </c>
      <c r="F59" s="180" t="s">
        <v>185</v>
      </c>
    </row>
    <row r="60" spans="1:6" ht="16" x14ac:dyDescent="0.2">
      <c r="A60" s="178">
        <v>59</v>
      </c>
      <c r="B60" s="179">
        <v>1</v>
      </c>
      <c r="C60" s="179" t="s">
        <v>262</v>
      </c>
      <c r="D60" s="179">
        <v>8</v>
      </c>
      <c r="E60" s="179" t="s">
        <v>186</v>
      </c>
      <c r="F60" s="180" t="s">
        <v>187</v>
      </c>
    </row>
    <row r="61" spans="1:6" ht="16" x14ac:dyDescent="0.2">
      <c r="A61" s="178">
        <v>60</v>
      </c>
      <c r="B61" s="179">
        <v>1</v>
      </c>
      <c r="C61" s="179" t="s">
        <v>263</v>
      </c>
      <c r="D61" s="179">
        <v>8</v>
      </c>
      <c r="E61" s="179" t="s">
        <v>189</v>
      </c>
      <c r="F61" s="180" t="s">
        <v>190</v>
      </c>
    </row>
    <row r="62" spans="1:6" ht="16" x14ac:dyDescent="0.2">
      <c r="A62" s="178">
        <v>61</v>
      </c>
      <c r="B62" s="179">
        <v>1</v>
      </c>
      <c r="C62" s="179" t="s">
        <v>264</v>
      </c>
      <c r="D62" s="179">
        <v>8</v>
      </c>
      <c r="E62" s="179" t="s">
        <v>191</v>
      </c>
      <c r="F62" s="180" t="s">
        <v>192</v>
      </c>
    </row>
    <row r="63" spans="1:6" ht="16" x14ac:dyDescent="0.2">
      <c r="A63" s="178">
        <v>62</v>
      </c>
      <c r="B63" s="179">
        <v>1</v>
      </c>
      <c r="C63" s="179" t="s">
        <v>265</v>
      </c>
      <c r="D63" s="179">
        <v>8</v>
      </c>
      <c r="E63" s="179" t="s">
        <v>195</v>
      </c>
      <c r="F63" s="180" t="s">
        <v>196</v>
      </c>
    </row>
    <row r="64" spans="1:6" ht="16" x14ac:dyDescent="0.2">
      <c r="A64" s="178">
        <v>63</v>
      </c>
      <c r="B64" s="179">
        <v>1</v>
      </c>
      <c r="C64" s="179" t="s">
        <v>266</v>
      </c>
      <c r="D64" s="179">
        <v>8</v>
      </c>
      <c r="E64" s="179" t="s">
        <v>197</v>
      </c>
      <c r="F64" s="180" t="s">
        <v>198</v>
      </c>
    </row>
    <row r="65" spans="1:6" ht="16" x14ac:dyDescent="0.2">
      <c r="A65" s="181">
        <v>64</v>
      </c>
      <c r="B65" s="179">
        <v>1</v>
      </c>
      <c r="C65" s="179" t="s">
        <v>267</v>
      </c>
      <c r="D65" s="179">
        <v>8</v>
      </c>
      <c r="E65" s="179" t="s">
        <v>199</v>
      </c>
      <c r="F65" s="180" t="s">
        <v>200</v>
      </c>
    </row>
    <row r="66" spans="1:6" ht="16" x14ac:dyDescent="0.2">
      <c r="A66" s="178">
        <v>65</v>
      </c>
      <c r="B66" s="179">
        <v>1</v>
      </c>
      <c r="C66" s="179" t="s">
        <v>260</v>
      </c>
      <c r="D66" s="179">
        <v>9</v>
      </c>
      <c r="E66" s="179" t="s">
        <v>201</v>
      </c>
      <c r="F66" s="180" t="s">
        <v>202</v>
      </c>
    </row>
    <row r="67" spans="1:6" ht="16" x14ac:dyDescent="0.2">
      <c r="A67" s="178">
        <v>66</v>
      </c>
      <c r="B67" s="179">
        <v>1</v>
      </c>
      <c r="C67" s="179" t="s">
        <v>261</v>
      </c>
      <c r="D67" s="179">
        <v>9</v>
      </c>
      <c r="E67" s="179" t="s">
        <v>204</v>
      </c>
      <c r="F67" s="180" t="s">
        <v>205</v>
      </c>
    </row>
    <row r="68" spans="1:6" ht="16" x14ac:dyDescent="0.2">
      <c r="A68" s="178">
        <v>67</v>
      </c>
      <c r="B68" s="179">
        <v>1</v>
      </c>
      <c r="C68" s="179" t="s">
        <v>262</v>
      </c>
      <c r="D68" s="179">
        <v>9</v>
      </c>
      <c r="E68" s="179" t="s">
        <v>206</v>
      </c>
      <c r="F68" s="180" t="s">
        <v>207</v>
      </c>
    </row>
    <row r="69" spans="1:6" ht="16" x14ac:dyDescent="0.2">
      <c r="A69" s="178">
        <v>68</v>
      </c>
      <c r="B69" s="179">
        <v>1</v>
      </c>
      <c r="C69" s="179" t="s">
        <v>263</v>
      </c>
      <c r="D69" s="179">
        <v>9</v>
      </c>
      <c r="E69" s="179" t="s">
        <v>210</v>
      </c>
      <c r="F69" s="180" t="s">
        <v>211</v>
      </c>
    </row>
    <row r="70" spans="1:6" ht="16" x14ac:dyDescent="0.2">
      <c r="A70" s="178">
        <v>69</v>
      </c>
      <c r="B70" s="179">
        <v>1</v>
      </c>
      <c r="C70" s="179" t="s">
        <v>264</v>
      </c>
      <c r="D70" s="179">
        <v>9</v>
      </c>
      <c r="E70" s="179" t="s">
        <v>212</v>
      </c>
      <c r="F70" s="180" t="s">
        <v>213</v>
      </c>
    </row>
    <row r="71" spans="1:6" ht="16" x14ac:dyDescent="0.2">
      <c r="A71" s="178">
        <v>70</v>
      </c>
      <c r="B71" s="179">
        <v>1</v>
      </c>
      <c r="C71" s="179" t="s">
        <v>265</v>
      </c>
      <c r="D71" s="179">
        <v>9</v>
      </c>
      <c r="E71" s="179" t="s">
        <v>214</v>
      </c>
      <c r="F71" s="180" t="s">
        <v>215</v>
      </c>
    </row>
    <row r="72" spans="1:6" ht="16" x14ac:dyDescent="0.2">
      <c r="A72" s="178">
        <v>71</v>
      </c>
      <c r="B72" s="179">
        <v>1</v>
      </c>
      <c r="C72" s="179" t="s">
        <v>266</v>
      </c>
      <c r="D72" s="179">
        <v>9</v>
      </c>
      <c r="E72" s="179" t="s">
        <v>216</v>
      </c>
      <c r="F72" s="180" t="s">
        <v>217</v>
      </c>
    </row>
    <row r="73" spans="1:6" ht="16" x14ac:dyDescent="0.2">
      <c r="A73" s="181">
        <v>72</v>
      </c>
      <c r="B73" s="179">
        <v>1</v>
      </c>
      <c r="C73" s="179" t="s">
        <v>267</v>
      </c>
      <c r="D73" s="179">
        <v>9</v>
      </c>
      <c r="E73" s="179" t="s">
        <v>219</v>
      </c>
      <c r="F73" s="180" t="s">
        <v>220</v>
      </c>
    </row>
    <row r="74" spans="1:6" ht="16" x14ac:dyDescent="0.2">
      <c r="A74" s="178">
        <v>73</v>
      </c>
      <c r="B74" s="179">
        <v>1</v>
      </c>
      <c r="C74" s="179" t="s">
        <v>260</v>
      </c>
      <c r="D74" s="179">
        <v>10</v>
      </c>
      <c r="E74" s="179" t="s">
        <v>221</v>
      </c>
      <c r="F74" s="180" t="s">
        <v>222</v>
      </c>
    </row>
    <row r="75" spans="1:6" ht="16" x14ac:dyDescent="0.2">
      <c r="A75" s="178">
        <v>74</v>
      </c>
      <c r="B75" s="179">
        <v>1</v>
      </c>
      <c r="C75" s="179" t="s">
        <v>261</v>
      </c>
      <c r="D75" s="179">
        <v>10</v>
      </c>
      <c r="E75" s="179" t="s">
        <v>225</v>
      </c>
      <c r="F75" s="180" t="s">
        <v>226</v>
      </c>
    </row>
    <row r="76" spans="1:6" ht="16" x14ac:dyDescent="0.2">
      <c r="A76" s="178">
        <v>75</v>
      </c>
      <c r="B76" s="179">
        <v>1</v>
      </c>
      <c r="C76" s="179" t="s">
        <v>262</v>
      </c>
      <c r="D76" s="179">
        <v>10</v>
      </c>
      <c r="E76" s="179" t="s">
        <v>227</v>
      </c>
      <c r="F76" s="180" t="s">
        <v>228</v>
      </c>
    </row>
    <row r="77" spans="1:6" ht="16" x14ac:dyDescent="0.2">
      <c r="A77" s="178">
        <v>76</v>
      </c>
      <c r="B77" s="179">
        <v>1</v>
      </c>
      <c r="C77" s="179" t="s">
        <v>263</v>
      </c>
      <c r="D77" s="179">
        <v>10</v>
      </c>
      <c r="E77" s="179" t="s">
        <v>229</v>
      </c>
      <c r="F77" s="180" t="s">
        <v>230</v>
      </c>
    </row>
    <row r="78" spans="1:6" ht="16" x14ac:dyDescent="0.2">
      <c r="A78" s="178">
        <v>77</v>
      </c>
      <c r="B78" s="179">
        <v>1</v>
      </c>
      <c r="C78" s="179" t="s">
        <v>264</v>
      </c>
      <c r="D78" s="179">
        <v>10</v>
      </c>
      <c r="E78" s="179" t="s">
        <v>231</v>
      </c>
      <c r="F78" s="180" t="s">
        <v>232</v>
      </c>
    </row>
    <row r="79" spans="1:6" ht="16" x14ac:dyDescent="0.2">
      <c r="A79" s="178">
        <v>78</v>
      </c>
      <c r="B79" s="179">
        <v>1</v>
      </c>
      <c r="C79" s="179" t="s">
        <v>265</v>
      </c>
      <c r="D79" s="179">
        <v>10</v>
      </c>
      <c r="E79" s="179" t="s">
        <v>234</v>
      </c>
      <c r="F79" s="180" t="s">
        <v>235</v>
      </c>
    </row>
    <row r="80" spans="1:6" ht="16" x14ac:dyDescent="0.2">
      <c r="A80" s="178">
        <v>79</v>
      </c>
      <c r="B80" s="179">
        <v>1</v>
      </c>
      <c r="C80" s="179" t="s">
        <v>266</v>
      </c>
      <c r="D80" s="179">
        <v>10</v>
      </c>
      <c r="E80" s="179" t="s">
        <v>236</v>
      </c>
      <c r="F80" s="180" t="s">
        <v>237</v>
      </c>
    </row>
    <row r="81" spans="1:6" ht="16" x14ac:dyDescent="0.2">
      <c r="A81" s="181">
        <v>80</v>
      </c>
      <c r="B81" s="179">
        <v>1</v>
      </c>
      <c r="C81" s="179" t="s">
        <v>267</v>
      </c>
      <c r="D81" s="179">
        <v>10</v>
      </c>
      <c r="E81" s="179" t="s">
        <v>240</v>
      </c>
      <c r="F81" s="180" t="s">
        <v>241</v>
      </c>
    </row>
    <row r="82" spans="1:6" ht="16" x14ac:dyDescent="0.2">
      <c r="A82" s="182">
        <v>81</v>
      </c>
      <c r="B82" s="179">
        <v>1</v>
      </c>
      <c r="C82" s="179" t="s">
        <v>260</v>
      </c>
      <c r="D82" s="179">
        <v>11</v>
      </c>
      <c r="E82" s="179" t="s">
        <v>242</v>
      </c>
      <c r="F82" s="180" t="s">
        <v>243</v>
      </c>
    </row>
    <row r="83" spans="1:6" ht="16" x14ac:dyDescent="0.2">
      <c r="A83" s="178">
        <v>82</v>
      </c>
      <c r="B83" s="179">
        <v>1</v>
      </c>
      <c r="C83" s="179" t="s">
        <v>261</v>
      </c>
      <c r="D83" s="179">
        <v>11</v>
      </c>
      <c r="E83" s="179" t="s">
        <v>244</v>
      </c>
      <c r="F83" s="180" t="s">
        <v>245</v>
      </c>
    </row>
    <row r="84" spans="1:6" ht="16" x14ac:dyDescent="0.2">
      <c r="A84" s="182">
        <v>83</v>
      </c>
      <c r="B84" s="179">
        <v>1</v>
      </c>
      <c r="C84" s="179" t="s">
        <v>262</v>
      </c>
      <c r="D84" s="179">
        <v>11</v>
      </c>
      <c r="E84" s="179" t="s">
        <v>246</v>
      </c>
      <c r="F84" s="180" t="s">
        <v>247</v>
      </c>
    </row>
    <row r="85" spans="1:6" ht="16" x14ac:dyDescent="0.2">
      <c r="A85" s="178">
        <v>84</v>
      </c>
      <c r="B85" s="179">
        <v>1</v>
      </c>
      <c r="C85" s="179" t="s">
        <v>263</v>
      </c>
      <c r="D85" s="179">
        <v>11</v>
      </c>
      <c r="E85" s="179" t="s">
        <v>249</v>
      </c>
      <c r="F85" s="180" t="s">
        <v>250</v>
      </c>
    </row>
    <row r="86" spans="1:6" ht="16" x14ac:dyDescent="0.2">
      <c r="A86" s="182">
        <v>85</v>
      </c>
      <c r="B86" s="179">
        <v>1</v>
      </c>
      <c r="C86" s="179" t="s">
        <v>264</v>
      </c>
      <c r="D86" s="179">
        <v>11</v>
      </c>
      <c r="E86" s="179" t="s">
        <v>252</v>
      </c>
      <c r="F86" s="180" t="s">
        <v>253</v>
      </c>
    </row>
    <row r="87" spans="1:6" ht="16" x14ac:dyDescent="0.2">
      <c r="A87" s="178">
        <v>86</v>
      </c>
      <c r="B87" s="179">
        <v>1</v>
      </c>
      <c r="C87" s="179" t="s">
        <v>265</v>
      </c>
      <c r="D87" s="179">
        <v>11</v>
      </c>
      <c r="E87" s="179" t="s">
        <v>268</v>
      </c>
      <c r="F87" s="180" t="s">
        <v>269</v>
      </c>
    </row>
    <row r="88" spans="1:6" ht="16" x14ac:dyDescent="0.2">
      <c r="A88" s="182">
        <v>87</v>
      </c>
      <c r="B88" s="179">
        <v>1</v>
      </c>
      <c r="C88" s="179" t="s">
        <v>266</v>
      </c>
      <c r="D88" s="179">
        <v>11</v>
      </c>
      <c r="E88" s="179" t="s">
        <v>270</v>
      </c>
      <c r="F88" s="180" t="s">
        <v>271</v>
      </c>
    </row>
    <row r="89" spans="1:6" ht="16" x14ac:dyDescent="0.2">
      <c r="A89" s="181">
        <v>88</v>
      </c>
      <c r="B89" s="179">
        <v>1</v>
      </c>
      <c r="C89" s="179" t="s">
        <v>267</v>
      </c>
      <c r="D89" s="179">
        <v>11</v>
      </c>
      <c r="E89" s="179" t="s">
        <v>272</v>
      </c>
      <c r="F89" s="180" t="s">
        <v>273</v>
      </c>
    </row>
    <row r="90" spans="1:6" ht="16" x14ac:dyDescent="0.2">
      <c r="A90" s="183">
        <v>89</v>
      </c>
      <c r="B90" s="179">
        <v>1</v>
      </c>
      <c r="C90" s="179" t="s">
        <v>260</v>
      </c>
      <c r="D90" s="179">
        <v>12</v>
      </c>
      <c r="E90" s="179" t="s">
        <v>274</v>
      </c>
      <c r="F90" s="180" t="s">
        <v>275</v>
      </c>
    </row>
    <row r="91" spans="1:6" ht="16" x14ac:dyDescent="0.2">
      <c r="A91" s="183">
        <v>90</v>
      </c>
      <c r="B91" s="179">
        <v>1</v>
      </c>
      <c r="C91" s="179" t="s">
        <v>261</v>
      </c>
      <c r="D91" s="179">
        <v>12</v>
      </c>
      <c r="E91" s="179" t="s">
        <v>276</v>
      </c>
      <c r="F91" s="180" t="s">
        <v>277</v>
      </c>
    </row>
    <row r="92" spans="1:6" ht="16" x14ac:dyDescent="0.2">
      <c r="A92" s="183">
        <v>91</v>
      </c>
      <c r="B92" s="179">
        <v>1</v>
      </c>
      <c r="C92" s="179" t="s">
        <v>262</v>
      </c>
      <c r="D92" s="179">
        <v>12</v>
      </c>
      <c r="E92" s="179" t="s">
        <v>278</v>
      </c>
      <c r="F92" s="180" t="s">
        <v>279</v>
      </c>
    </row>
    <row r="93" spans="1:6" ht="16" x14ac:dyDescent="0.2">
      <c r="A93" s="183">
        <v>92</v>
      </c>
      <c r="B93" s="179">
        <v>1</v>
      </c>
      <c r="C93" s="179" t="s">
        <v>263</v>
      </c>
      <c r="D93" s="179">
        <v>12</v>
      </c>
      <c r="E93" s="179" t="s">
        <v>280</v>
      </c>
      <c r="F93" s="180" t="s">
        <v>281</v>
      </c>
    </row>
    <row r="94" spans="1:6" ht="16" x14ac:dyDescent="0.2">
      <c r="A94" s="183">
        <v>93</v>
      </c>
      <c r="B94" s="179">
        <v>1</v>
      </c>
      <c r="C94" s="179" t="s">
        <v>264</v>
      </c>
      <c r="D94" s="179">
        <v>12</v>
      </c>
      <c r="E94" s="179" t="s">
        <v>282</v>
      </c>
      <c r="F94" s="180" t="s">
        <v>283</v>
      </c>
    </row>
    <row r="95" spans="1:6" ht="16" x14ac:dyDescent="0.2">
      <c r="A95" s="183">
        <v>94</v>
      </c>
      <c r="B95" s="179">
        <v>1</v>
      </c>
      <c r="C95" s="179" t="s">
        <v>265</v>
      </c>
      <c r="D95" s="179">
        <v>12</v>
      </c>
      <c r="E95" s="179" t="s">
        <v>284</v>
      </c>
      <c r="F95" s="180" t="s">
        <v>285</v>
      </c>
    </row>
    <row r="96" spans="1:6" ht="16" x14ac:dyDescent="0.2">
      <c r="A96" s="183">
        <v>95</v>
      </c>
      <c r="B96" s="179">
        <v>1</v>
      </c>
      <c r="C96" s="179" t="s">
        <v>266</v>
      </c>
      <c r="D96" s="179">
        <v>12</v>
      </c>
      <c r="E96" s="179" t="s">
        <v>286</v>
      </c>
      <c r="F96" s="180" t="s">
        <v>287</v>
      </c>
    </row>
    <row r="97" spans="1:6" ht="16" x14ac:dyDescent="0.2">
      <c r="A97" s="184">
        <v>96</v>
      </c>
      <c r="B97" s="179">
        <v>1</v>
      </c>
      <c r="C97" s="179" t="s">
        <v>267</v>
      </c>
      <c r="D97" s="179">
        <v>12</v>
      </c>
      <c r="E97" s="179" t="s">
        <v>288</v>
      </c>
      <c r="F97" s="180" t="s">
        <v>289</v>
      </c>
    </row>
    <row r="98" spans="1:6" ht="16" x14ac:dyDescent="0.2">
      <c r="A98" s="178">
        <v>97</v>
      </c>
      <c r="B98" s="179">
        <v>2</v>
      </c>
      <c r="C98" s="179" t="s">
        <v>260</v>
      </c>
      <c r="D98" s="179">
        <v>1</v>
      </c>
      <c r="E98" s="179" t="s">
        <v>19</v>
      </c>
      <c r="F98" s="180" t="s">
        <v>20</v>
      </c>
    </row>
    <row r="99" spans="1:6" ht="16" x14ac:dyDescent="0.2">
      <c r="A99" s="178">
        <v>98</v>
      </c>
      <c r="B99" s="179">
        <v>2</v>
      </c>
      <c r="C99" s="179" t="s">
        <v>261</v>
      </c>
      <c r="D99" s="179">
        <v>1</v>
      </c>
      <c r="E99" s="179" t="s">
        <v>50</v>
      </c>
      <c r="F99" s="180" t="s">
        <v>51</v>
      </c>
    </row>
    <row r="100" spans="1:6" ht="16" x14ac:dyDescent="0.2">
      <c r="A100" s="178">
        <v>99</v>
      </c>
      <c r="B100" s="179">
        <v>2</v>
      </c>
      <c r="C100" s="179" t="s">
        <v>262</v>
      </c>
      <c r="D100" s="179">
        <v>1</v>
      </c>
      <c r="E100" s="179" t="s">
        <v>75</v>
      </c>
      <c r="F100" s="180" t="s">
        <v>76</v>
      </c>
    </row>
    <row r="101" spans="1:6" ht="16" x14ac:dyDescent="0.2">
      <c r="A101" s="178">
        <v>100</v>
      </c>
      <c r="B101" s="179">
        <v>2</v>
      </c>
      <c r="C101" s="179" t="s">
        <v>263</v>
      </c>
      <c r="D101" s="179">
        <v>1</v>
      </c>
      <c r="E101" s="179" t="s">
        <v>92</v>
      </c>
      <c r="F101" s="180" t="s">
        <v>93</v>
      </c>
    </row>
    <row r="102" spans="1:6" ht="16" x14ac:dyDescent="0.2">
      <c r="A102" s="178">
        <v>101</v>
      </c>
      <c r="B102" s="179">
        <v>2</v>
      </c>
      <c r="C102" s="179" t="s">
        <v>264</v>
      </c>
      <c r="D102" s="179">
        <v>1</v>
      </c>
      <c r="E102" s="179" t="s">
        <v>110</v>
      </c>
      <c r="F102" s="180" t="s">
        <v>111</v>
      </c>
    </row>
    <row r="103" spans="1:6" ht="16" x14ac:dyDescent="0.2">
      <c r="A103" s="178">
        <v>102</v>
      </c>
      <c r="B103" s="179">
        <v>2</v>
      </c>
      <c r="C103" s="179" t="s">
        <v>265</v>
      </c>
      <c r="D103" s="179">
        <v>1</v>
      </c>
      <c r="E103" s="179" t="s">
        <v>132</v>
      </c>
      <c r="F103" s="180" t="s">
        <v>133</v>
      </c>
    </row>
    <row r="104" spans="1:6" ht="16" x14ac:dyDescent="0.2">
      <c r="A104" s="178">
        <v>103</v>
      </c>
      <c r="B104" s="179">
        <v>2</v>
      </c>
      <c r="C104" s="179" t="s">
        <v>266</v>
      </c>
      <c r="D104" s="179">
        <v>1</v>
      </c>
      <c r="E104" s="179" t="s">
        <v>148</v>
      </c>
      <c r="F104" s="180" t="s">
        <v>149</v>
      </c>
    </row>
    <row r="105" spans="1:6" ht="16" x14ac:dyDescent="0.2">
      <c r="A105" s="181">
        <v>104</v>
      </c>
      <c r="B105" s="179">
        <v>2</v>
      </c>
      <c r="C105" s="179" t="s">
        <v>267</v>
      </c>
      <c r="D105" s="179">
        <v>1</v>
      </c>
      <c r="E105" s="179" t="s">
        <v>163</v>
      </c>
      <c r="F105" s="180" t="s">
        <v>164</v>
      </c>
    </row>
    <row r="106" spans="1:6" ht="16" x14ac:dyDescent="0.2">
      <c r="A106" s="178">
        <v>105</v>
      </c>
      <c r="B106" s="179">
        <v>2</v>
      </c>
      <c r="C106" s="179" t="s">
        <v>260</v>
      </c>
      <c r="D106" s="179">
        <v>2</v>
      </c>
      <c r="E106" s="179" t="s">
        <v>178</v>
      </c>
      <c r="F106" s="180" t="s">
        <v>179</v>
      </c>
    </row>
    <row r="107" spans="1:6" ht="16" x14ac:dyDescent="0.2">
      <c r="A107" s="178">
        <v>106</v>
      </c>
      <c r="B107" s="179">
        <v>2</v>
      </c>
      <c r="C107" s="179" t="s">
        <v>261</v>
      </c>
      <c r="D107" s="179">
        <v>2</v>
      </c>
      <c r="E107" s="179" t="s">
        <v>193</v>
      </c>
      <c r="F107" s="180" t="s">
        <v>194</v>
      </c>
    </row>
    <row r="108" spans="1:6" ht="16" x14ac:dyDescent="0.2">
      <c r="A108" s="178">
        <v>107</v>
      </c>
      <c r="B108" s="179">
        <v>2</v>
      </c>
      <c r="C108" s="179" t="s">
        <v>262</v>
      </c>
      <c r="D108" s="179">
        <v>2</v>
      </c>
      <c r="E108" s="179" t="s">
        <v>208</v>
      </c>
      <c r="F108" s="180" t="s">
        <v>209</v>
      </c>
    </row>
    <row r="109" spans="1:6" ht="16" x14ac:dyDescent="0.2">
      <c r="A109" s="178">
        <v>108</v>
      </c>
      <c r="B109" s="179">
        <v>2</v>
      </c>
      <c r="C109" s="179" t="s">
        <v>263</v>
      </c>
      <c r="D109" s="179">
        <v>2</v>
      </c>
      <c r="E109" s="179" t="s">
        <v>223</v>
      </c>
      <c r="F109" s="180" t="s">
        <v>224</v>
      </c>
    </row>
    <row r="110" spans="1:6" ht="16" x14ac:dyDescent="0.2">
      <c r="A110" s="178">
        <v>109</v>
      </c>
      <c r="B110" s="179">
        <v>2</v>
      </c>
      <c r="C110" s="179" t="s">
        <v>264</v>
      </c>
      <c r="D110" s="179">
        <v>2</v>
      </c>
      <c r="E110" s="179" t="s">
        <v>238</v>
      </c>
      <c r="F110" s="180" t="s">
        <v>239</v>
      </c>
    </row>
    <row r="111" spans="1:6" ht="16" x14ac:dyDescent="0.2">
      <c r="A111" s="178">
        <v>110</v>
      </c>
      <c r="B111" s="179">
        <v>2</v>
      </c>
      <c r="C111" s="179" t="s">
        <v>265</v>
      </c>
      <c r="D111" s="179">
        <v>2</v>
      </c>
      <c r="E111" s="179" t="s">
        <v>255</v>
      </c>
      <c r="F111" s="180" t="s">
        <v>256</v>
      </c>
    </row>
    <row r="112" spans="1:6" ht="16" x14ac:dyDescent="0.2">
      <c r="A112" s="178">
        <v>111</v>
      </c>
      <c r="B112" s="179">
        <v>2</v>
      </c>
      <c r="C112" s="179" t="s">
        <v>266</v>
      </c>
      <c r="D112" s="179">
        <v>2</v>
      </c>
      <c r="E112" s="179" t="s">
        <v>290</v>
      </c>
      <c r="F112" s="180" t="s">
        <v>291</v>
      </c>
    </row>
    <row r="113" spans="1:6" ht="16" x14ac:dyDescent="0.2">
      <c r="A113" s="181">
        <v>112</v>
      </c>
      <c r="B113" s="179">
        <v>2</v>
      </c>
      <c r="C113" s="179" t="s">
        <v>267</v>
      </c>
      <c r="D113" s="179">
        <v>2</v>
      </c>
      <c r="E113" s="179" t="s">
        <v>292</v>
      </c>
      <c r="F113" s="180" t="s">
        <v>293</v>
      </c>
    </row>
    <row r="114" spans="1:6" ht="16" x14ac:dyDescent="0.2">
      <c r="A114" s="178">
        <v>113</v>
      </c>
      <c r="B114" s="179">
        <v>2</v>
      </c>
      <c r="C114" s="179" t="s">
        <v>260</v>
      </c>
      <c r="D114" s="179">
        <v>3</v>
      </c>
      <c r="E114" s="179" t="s">
        <v>294</v>
      </c>
      <c r="F114" s="180" t="s">
        <v>295</v>
      </c>
    </row>
    <row r="115" spans="1:6" ht="16" x14ac:dyDescent="0.2">
      <c r="A115" s="178">
        <v>114</v>
      </c>
      <c r="B115" s="179">
        <v>2</v>
      </c>
      <c r="C115" s="179" t="s">
        <v>261</v>
      </c>
      <c r="D115" s="179">
        <v>3</v>
      </c>
      <c r="E115" s="179" t="s">
        <v>296</v>
      </c>
      <c r="F115" s="180" t="s">
        <v>297</v>
      </c>
    </row>
    <row r="116" spans="1:6" ht="16" x14ac:dyDescent="0.2">
      <c r="A116" s="178">
        <v>115</v>
      </c>
      <c r="B116" s="179">
        <v>2</v>
      </c>
      <c r="C116" s="179" t="s">
        <v>262</v>
      </c>
      <c r="D116" s="179">
        <v>3</v>
      </c>
      <c r="E116" s="179" t="s">
        <v>298</v>
      </c>
      <c r="F116" s="180" t="s">
        <v>299</v>
      </c>
    </row>
    <row r="117" spans="1:6" ht="16" x14ac:dyDescent="0.2">
      <c r="A117" s="178">
        <v>116</v>
      </c>
      <c r="B117" s="179">
        <v>2</v>
      </c>
      <c r="C117" s="179" t="s">
        <v>263</v>
      </c>
      <c r="D117" s="179">
        <v>3</v>
      </c>
      <c r="E117" s="179" t="s">
        <v>300</v>
      </c>
      <c r="F117" s="180" t="s">
        <v>301</v>
      </c>
    </row>
    <row r="118" spans="1:6" ht="16" x14ac:dyDescent="0.2">
      <c r="A118" s="178">
        <v>117</v>
      </c>
      <c r="B118" s="179">
        <v>2</v>
      </c>
      <c r="C118" s="179" t="s">
        <v>264</v>
      </c>
      <c r="D118" s="179">
        <v>3</v>
      </c>
      <c r="E118" s="179" t="s">
        <v>302</v>
      </c>
      <c r="F118" s="180" t="s">
        <v>303</v>
      </c>
    </row>
    <row r="119" spans="1:6" ht="16" x14ac:dyDescent="0.2">
      <c r="A119" s="178">
        <v>118</v>
      </c>
      <c r="B119" s="179">
        <v>2</v>
      </c>
      <c r="C119" s="179" t="s">
        <v>265</v>
      </c>
      <c r="D119" s="179">
        <v>3</v>
      </c>
      <c r="E119" s="179" t="s">
        <v>304</v>
      </c>
      <c r="F119" s="180" t="s">
        <v>305</v>
      </c>
    </row>
    <row r="120" spans="1:6" ht="16" x14ac:dyDescent="0.2">
      <c r="A120" s="178">
        <v>119</v>
      </c>
      <c r="B120" s="179">
        <v>2</v>
      </c>
      <c r="C120" s="179" t="s">
        <v>266</v>
      </c>
      <c r="D120" s="179">
        <v>3</v>
      </c>
      <c r="E120" s="179" t="s">
        <v>306</v>
      </c>
      <c r="F120" s="180" t="s">
        <v>307</v>
      </c>
    </row>
    <row r="121" spans="1:6" ht="16" x14ac:dyDescent="0.2">
      <c r="A121" s="181">
        <v>120</v>
      </c>
      <c r="B121" s="179">
        <v>2</v>
      </c>
      <c r="C121" s="179" t="s">
        <v>267</v>
      </c>
      <c r="D121" s="179">
        <v>3</v>
      </c>
      <c r="E121" s="179" t="s">
        <v>308</v>
      </c>
      <c r="F121" s="180" t="s">
        <v>309</v>
      </c>
    </row>
    <row r="122" spans="1:6" ht="16" x14ac:dyDescent="0.2">
      <c r="A122" s="178">
        <v>121</v>
      </c>
      <c r="B122" s="179">
        <v>2</v>
      </c>
      <c r="C122" s="179" t="s">
        <v>260</v>
      </c>
      <c r="D122" s="179">
        <v>4</v>
      </c>
      <c r="E122" s="179" t="s">
        <v>310</v>
      </c>
      <c r="F122" s="180" t="s">
        <v>311</v>
      </c>
    </row>
    <row r="123" spans="1:6" ht="16" x14ac:dyDescent="0.2">
      <c r="A123" s="178">
        <v>122</v>
      </c>
      <c r="B123" s="179">
        <v>2</v>
      </c>
      <c r="C123" s="179" t="s">
        <v>261</v>
      </c>
      <c r="D123" s="179">
        <v>4</v>
      </c>
      <c r="E123" s="179" t="s">
        <v>312</v>
      </c>
      <c r="F123" s="180" t="s">
        <v>313</v>
      </c>
    </row>
    <row r="124" spans="1:6" ht="16" x14ac:dyDescent="0.2">
      <c r="A124" s="178">
        <v>123</v>
      </c>
      <c r="B124" s="179">
        <v>2</v>
      </c>
      <c r="C124" s="179" t="s">
        <v>262</v>
      </c>
      <c r="D124" s="179">
        <v>4</v>
      </c>
      <c r="E124" s="179" t="s">
        <v>314</v>
      </c>
      <c r="F124" s="180" t="s">
        <v>315</v>
      </c>
    </row>
    <row r="125" spans="1:6" ht="16" x14ac:dyDescent="0.2">
      <c r="A125" s="178">
        <v>124</v>
      </c>
      <c r="B125" s="179">
        <v>2</v>
      </c>
      <c r="C125" s="179" t="s">
        <v>263</v>
      </c>
      <c r="D125" s="179">
        <v>4</v>
      </c>
      <c r="E125" s="179" t="s">
        <v>316</v>
      </c>
      <c r="F125" s="180" t="s">
        <v>317</v>
      </c>
    </row>
    <row r="126" spans="1:6" ht="16" x14ac:dyDescent="0.2">
      <c r="A126" s="178">
        <v>125</v>
      </c>
      <c r="B126" s="179">
        <v>2</v>
      </c>
      <c r="C126" s="179" t="s">
        <v>264</v>
      </c>
      <c r="D126" s="179">
        <v>4</v>
      </c>
      <c r="E126" s="179" t="s">
        <v>318</v>
      </c>
      <c r="F126" s="180" t="s">
        <v>319</v>
      </c>
    </row>
    <row r="127" spans="1:6" ht="16" x14ac:dyDescent="0.2">
      <c r="A127" s="178">
        <v>126</v>
      </c>
      <c r="B127" s="179">
        <v>2</v>
      </c>
      <c r="C127" s="179" t="s">
        <v>265</v>
      </c>
      <c r="D127" s="179">
        <v>4</v>
      </c>
      <c r="E127" s="179" t="s">
        <v>320</v>
      </c>
      <c r="F127" s="180" t="s">
        <v>321</v>
      </c>
    </row>
    <row r="128" spans="1:6" ht="16" x14ac:dyDescent="0.2">
      <c r="A128" s="178">
        <v>127</v>
      </c>
      <c r="B128" s="179">
        <v>2</v>
      </c>
      <c r="C128" s="179" t="s">
        <v>266</v>
      </c>
      <c r="D128" s="179">
        <v>4</v>
      </c>
      <c r="E128" s="179" t="s">
        <v>322</v>
      </c>
      <c r="F128" s="180" t="s">
        <v>323</v>
      </c>
    </row>
    <row r="129" spans="1:6" ht="16" x14ac:dyDescent="0.2">
      <c r="A129" s="181">
        <v>128</v>
      </c>
      <c r="B129" s="179">
        <v>2</v>
      </c>
      <c r="C129" s="179" t="s">
        <v>267</v>
      </c>
      <c r="D129" s="179">
        <v>4</v>
      </c>
      <c r="E129" s="179" t="s">
        <v>324</v>
      </c>
      <c r="F129" s="180" t="s">
        <v>325</v>
      </c>
    </row>
    <row r="130" spans="1:6" ht="16" x14ac:dyDescent="0.2">
      <c r="A130" s="178">
        <v>129</v>
      </c>
      <c r="B130" s="179">
        <v>2</v>
      </c>
      <c r="C130" s="179" t="s">
        <v>260</v>
      </c>
      <c r="D130" s="179">
        <v>5</v>
      </c>
      <c r="E130" s="179" t="s">
        <v>326</v>
      </c>
      <c r="F130" s="180" t="s">
        <v>327</v>
      </c>
    </row>
    <row r="131" spans="1:6" ht="16" x14ac:dyDescent="0.2">
      <c r="A131" s="178">
        <v>130</v>
      </c>
      <c r="B131" s="179">
        <v>2</v>
      </c>
      <c r="C131" s="179" t="s">
        <v>261</v>
      </c>
      <c r="D131" s="179">
        <v>5</v>
      </c>
      <c r="E131" s="179" t="s">
        <v>328</v>
      </c>
      <c r="F131" s="180" t="s">
        <v>329</v>
      </c>
    </row>
    <row r="132" spans="1:6" ht="16" x14ac:dyDescent="0.2">
      <c r="A132" s="178">
        <v>131</v>
      </c>
      <c r="B132" s="179">
        <v>2</v>
      </c>
      <c r="C132" s="179" t="s">
        <v>262</v>
      </c>
      <c r="D132" s="179">
        <v>5</v>
      </c>
      <c r="E132" s="179" t="s">
        <v>330</v>
      </c>
      <c r="F132" s="180" t="s">
        <v>331</v>
      </c>
    </row>
    <row r="133" spans="1:6" ht="16" x14ac:dyDescent="0.2">
      <c r="A133" s="178">
        <v>132</v>
      </c>
      <c r="B133" s="179">
        <v>2</v>
      </c>
      <c r="C133" s="179" t="s">
        <v>263</v>
      </c>
      <c r="D133" s="179">
        <v>5</v>
      </c>
      <c r="E133" s="179" t="s">
        <v>332</v>
      </c>
      <c r="F133" s="180" t="s">
        <v>333</v>
      </c>
    </row>
    <row r="134" spans="1:6" ht="16" x14ac:dyDescent="0.2">
      <c r="A134" s="178">
        <v>133</v>
      </c>
      <c r="B134" s="179">
        <v>2</v>
      </c>
      <c r="C134" s="179" t="s">
        <v>264</v>
      </c>
      <c r="D134" s="179">
        <v>5</v>
      </c>
      <c r="E134" s="179" t="s">
        <v>334</v>
      </c>
      <c r="F134" s="180" t="s">
        <v>335</v>
      </c>
    </row>
    <row r="135" spans="1:6" ht="16" x14ac:dyDescent="0.2">
      <c r="A135" s="178">
        <v>134</v>
      </c>
      <c r="B135" s="179">
        <v>2</v>
      </c>
      <c r="C135" s="179" t="s">
        <v>265</v>
      </c>
      <c r="D135" s="179">
        <v>5</v>
      </c>
      <c r="E135" s="179" t="s">
        <v>336</v>
      </c>
      <c r="F135" s="180" t="s">
        <v>337</v>
      </c>
    </row>
    <row r="136" spans="1:6" ht="16" x14ac:dyDescent="0.2">
      <c r="A136" s="178">
        <v>135</v>
      </c>
      <c r="B136" s="179">
        <v>2</v>
      </c>
      <c r="C136" s="179" t="s">
        <v>266</v>
      </c>
      <c r="D136" s="179">
        <v>5</v>
      </c>
      <c r="E136" s="179" t="s">
        <v>338</v>
      </c>
      <c r="F136" s="180" t="s">
        <v>339</v>
      </c>
    </row>
    <row r="137" spans="1:6" ht="16" x14ac:dyDescent="0.2">
      <c r="A137" s="181">
        <v>136</v>
      </c>
      <c r="B137" s="179">
        <v>2</v>
      </c>
      <c r="C137" s="179" t="s">
        <v>267</v>
      </c>
      <c r="D137" s="179">
        <v>5</v>
      </c>
      <c r="E137" s="179" t="s">
        <v>340</v>
      </c>
      <c r="F137" s="180" t="s">
        <v>341</v>
      </c>
    </row>
    <row r="138" spans="1:6" ht="16" x14ac:dyDescent="0.2">
      <c r="A138" s="178">
        <v>137</v>
      </c>
      <c r="B138" s="179">
        <v>2</v>
      </c>
      <c r="C138" s="179" t="s">
        <v>260</v>
      </c>
      <c r="D138" s="179">
        <v>6</v>
      </c>
      <c r="E138" s="179" t="s">
        <v>342</v>
      </c>
      <c r="F138" s="180" t="s">
        <v>343</v>
      </c>
    </row>
    <row r="139" spans="1:6" ht="16" x14ac:dyDescent="0.2">
      <c r="A139" s="178">
        <v>138</v>
      </c>
      <c r="B139" s="179">
        <v>2</v>
      </c>
      <c r="C139" s="179" t="s">
        <v>261</v>
      </c>
      <c r="D139" s="179">
        <v>6</v>
      </c>
      <c r="E139" s="179" t="s">
        <v>344</v>
      </c>
      <c r="F139" s="180" t="s">
        <v>345</v>
      </c>
    </row>
    <row r="140" spans="1:6" ht="16" x14ac:dyDescent="0.2">
      <c r="A140" s="178">
        <v>139</v>
      </c>
      <c r="B140" s="179">
        <v>2</v>
      </c>
      <c r="C140" s="179" t="s">
        <v>262</v>
      </c>
      <c r="D140" s="179">
        <v>6</v>
      </c>
      <c r="E140" s="179" t="s">
        <v>346</v>
      </c>
      <c r="F140" s="180" t="s">
        <v>347</v>
      </c>
    </row>
    <row r="141" spans="1:6" ht="16" x14ac:dyDescent="0.2">
      <c r="A141" s="178">
        <v>140</v>
      </c>
      <c r="B141" s="179">
        <v>2</v>
      </c>
      <c r="C141" s="179" t="s">
        <v>263</v>
      </c>
      <c r="D141" s="179">
        <v>6</v>
      </c>
      <c r="E141" s="179" t="s">
        <v>348</v>
      </c>
      <c r="F141" s="180" t="s">
        <v>349</v>
      </c>
    </row>
    <row r="142" spans="1:6" ht="16" x14ac:dyDescent="0.2">
      <c r="A142" s="178">
        <v>141</v>
      </c>
      <c r="B142" s="179">
        <v>2</v>
      </c>
      <c r="C142" s="179" t="s">
        <v>264</v>
      </c>
      <c r="D142" s="179">
        <v>6</v>
      </c>
      <c r="E142" s="179" t="s">
        <v>350</v>
      </c>
      <c r="F142" s="180" t="s">
        <v>351</v>
      </c>
    </row>
    <row r="143" spans="1:6" ht="16" x14ac:dyDescent="0.2">
      <c r="A143" s="178">
        <v>142</v>
      </c>
      <c r="B143" s="179">
        <v>2</v>
      </c>
      <c r="C143" s="179" t="s">
        <v>265</v>
      </c>
      <c r="D143" s="179">
        <v>6</v>
      </c>
      <c r="E143" s="179" t="s">
        <v>352</v>
      </c>
      <c r="F143" s="180" t="s">
        <v>353</v>
      </c>
    </row>
    <row r="144" spans="1:6" ht="16" x14ac:dyDescent="0.2">
      <c r="A144" s="178">
        <v>143</v>
      </c>
      <c r="B144" s="179">
        <v>2</v>
      </c>
      <c r="C144" s="179" t="s">
        <v>266</v>
      </c>
      <c r="D144" s="179">
        <v>6</v>
      </c>
      <c r="E144" s="179" t="s">
        <v>354</v>
      </c>
      <c r="F144" s="180" t="s">
        <v>355</v>
      </c>
    </row>
    <row r="145" spans="1:6" ht="16" x14ac:dyDescent="0.2">
      <c r="A145" s="181">
        <v>144</v>
      </c>
      <c r="B145" s="179">
        <v>2</v>
      </c>
      <c r="C145" s="179" t="s">
        <v>267</v>
      </c>
      <c r="D145" s="179">
        <v>6</v>
      </c>
      <c r="E145" s="179" t="s">
        <v>356</v>
      </c>
      <c r="F145" s="180" t="s">
        <v>357</v>
      </c>
    </row>
    <row r="146" spans="1:6" ht="16" x14ac:dyDescent="0.2">
      <c r="A146" s="178">
        <v>145</v>
      </c>
      <c r="B146" s="179">
        <v>2</v>
      </c>
      <c r="C146" s="179" t="s">
        <v>260</v>
      </c>
      <c r="D146" s="179">
        <v>7</v>
      </c>
      <c r="E146" s="179" t="s">
        <v>358</v>
      </c>
      <c r="F146" s="180" t="s">
        <v>359</v>
      </c>
    </row>
    <row r="147" spans="1:6" ht="16" x14ac:dyDescent="0.2">
      <c r="A147" s="178">
        <v>146</v>
      </c>
      <c r="B147" s="179">
        <v>2</v>
      </c>
      <c r="C147" s="179" t="s">
        <v>261</v>
      </c>
      <c r="D147" s="179">
        <v>7</v>
      </c>
      <c r="E147" s="179" t="s">
        <v>360</v>
      </c>
      <c r="F147" s="180" t="s">
        <v>361</v>
      </c>
    </row>
    <row r="148" spans="1:6" ht="16" x14ac:dyDescent="0.2">
      <c r="A148" s="178">
        <v>147</v>
      </c>
      <c r="B148" s="179">
        <v>2</v>
      </c>
      <c r="C148" s="179" t="s">
        <v>262</v>
      </c>
      <c r="D148" s="179">
        <v>7</v>
      </c>
      <c r="E148" s="179" t="s">
        <v>362</v>
      </c>
      <c r="F148" s="180" t="s">
        <v>363</v>
      </c>
    </row>
    <row r="149" spans="1:6" ht="16" x14ac:dyDescent="0.2">
      <c r="A149" s="178">
        <v>148</v>
      </c>
      <c r="B149" s="179">
        <v>2</v>
      </c>
      <c r="C149" s="179" t="s">
        <v>263</v>
      </c>
      <c r="D149" s="179">
        <v>7</v>
      </c>
      <c r="E149" s="179" t="s">
        <v>364</v>
      </c>
      <c r="F149" s="180" t="s">
        <v>365</v>
      </c>
    </row>
    <row r="150" spans="1:6" ht="16" x14ac:dyDescent="0.2">
      <c r="A150" s="178">
        <v>149</v>
      </c>
      <c r="B150" s="179">
        <v>2</v>
      </c>
      <c r="C150" s="179" t="s">
        <v>264</v>
      </c>
      <c r="D150" s="179">
        <v>7</v>
      </c>
      <c r="E150" s="179" t="s">
        <v>366</v>
      </c>
      <c r="F150" s="180" t="s">
        <v>367</v>
      </c>
    </row>
    <row r="151" spans="1:6" ht="16" x14ac:dyDescent="0.2">
      <c r="A151" s="178">
        <v>150</v>
      </c>
      <c r="B151" s="179">
        <v>2</v>
      </c>
      <c r="C151" s="179" t="s">
        <v>265</v>
      </c>
      <c r="D151" s="179">
        <v>7</v>
      </c>
      <c r="E151" s="179" t="s">
        <v>368</v>
      </c>
      <c r="F151" s="180" t="s">
        <v>369</v>
      </c>
    </row>
    <row r="152" spans="1:6" ht="16" x14ac:dyDescent="0.2">
      <c r="A152" s="178">
        <v>151</v>
      </c>
      <c r="B152" s="179">
        <v>2</v>
      </c>
      <c r="C152" s="179" t="s">
        <v>266</v>
      </c>
      <c r="D152" s="179">
        <v>7</v>
      </c>
      <c r="E152" s="179" t="s">
        <v>370</v>
      </c>
      <c r="F152" s="180" t="s">
        <v>371</v>
      </c>
    </row>
    <row r="153" spans="1:6" ht="16" x14ac:dyDescent="0.2">
      <c r="A153" s="181">
        <v>152</v>
      </c>
      <c r="B153" s="179">
        <v>2</v>
      </c>
      <c r="C153" s="179" t="s">
        <v>267</v>
      </c>
      <c r="D153" s="179">
        <v>7</v>
      </c>
      <c r="E153" s="179" t="s">
        <v>372</v>
      </c>
      <c r="F153" s="180" t="s">
        <v>373</v>
      </c>
    </row>
    <row r="154" spans="1:6" ht="16" x14ac:dyDescent="0.2">
      <c r="A154" s="178">
        <v>153</v>
      </c>
      <c r="B154" s="179">
        <v>2</v>
      </c>
      <c r="C154" s="179" t="s">
        <v>260</v>
      </c>
      <c r="D154" s="179">
        <v>8</v>
      </c>
      <c r="E154" s="179" t="s">
        <v>374</v>
      </c>
      <c r="F154" s="180" t="s">
        <v>375</v>
      </c>
    </row>
    <row r="155" spans="1:6" ht="16" x14ac:dyDescent="0.2">
      <c r="A155" s="178">
        <v>154</v>
      </c>
      <c r="B155" s="179">
        <v>2</v>
      </c>
      <c r="C155" s="179" t="s">
        <v>261</v>
      </c>
      <c r="D155" s="179">
        <v>8</v>
      </c>
      <c r="E155" s="179" t="s">
        <v>376</v>
      </c>
      <c r="F155" s="180" t="s">
        <v>377</v>
      </c>
    </row>
    <row r="156" spans="1:6" ht="16" x14ac:dyDescent="0.2">
      <c r="A156" s="178">
        <v>155</v>
      </c>
      <c r="B156" s="179">
        <v>2</v>
      </c>
      <c r="C156" s="179" t="s">
        <v>262</v>
      </c>
      <c r="D156" s="179">
        <v>8</v>
      </c>
      <c r="E156" s="179" t="s">
        <v>378</v>
      </c>
      <c r="F156" s="180" t="s">
        <v>379</v>
      </c>
    </row>
    <row r="157" spans="1:6" ht="16" x14ac:dyDescent="0.2">
      <c r="A157" s="178">
        <v>156</v>
      </c>
      <c r="B157" s="179">
        <v>2</v>
      </c>
      <c r="C157" s="179" t="s">
        <v>263</v>
      </c>
      <c r="D157" s="179">
        <v>8</v>
      </c>
      <c r="E157" s="179" t="s">
        <v>380</v>
      </c>
      <c r="F157" s="180" t="s">
        <v>381</v>
      </c>
    </row>
    <row r="158" spans="1:6" ht="16" x14ac:dyDescent="0.2">
      <c r="A158" s="178">
        <v>157</v>
      </c>
      <c r="B158" s="179">
        <v>2</v>
      </c>
      <c r="C158" s="179" t="s">
        <v>264</v>
      </c>
      <c r="D158" s="179">
        <v>8</v>
      </c>
      <c r="E158" s="179" t="s">
        <v>382</v>
      </c>
      <c r="F158" s="180" t="s">
        <v>383</v>
      </c>
    </row>
    <row r="159" spans="1:6" ht="16" x14ac:dyDescent="0.2">
      <c r="A159" s="178">
        <v>158</v>
      </c>
      <c r="B159" s="179">
        <v>2</v>
      </c>
      <c r="C159" s="179" t="s">
        <v>265</v>
      </c>
      <c r="D159" s="179">
        <v>8</v>
      </c>
      <c r="E159" s="179" t="s">
        <v>384</v>
      </c>
      <c r="F159" s="180" t="s">
        <v>385</v>
      </c>
    </row>
    <row r="160" spans="1:6" ht="16" x14ac:dyDescent="0.2">
      <c r="A160" s="178">
        <v>159</v>
      </c>
      <c r="B160" s="179">
        <v>2</v>
      </c>
      <c r="C160" s="179" t="s">
        <v>266</v>
      </c>
      <c r="D160" s="179">
        <v>8</v>
      </c>
      <c r="E160" s="179" t="s">
        <v>386</v>
      </c>
      <c r="F160" s="180" t="s">
        <v>387</v>
      </c>
    </row>
    <row r="161" spans="1:6" ht="16" x14ac:dyDescent="0.2">
      <c r="A161" s="181">
        <v>160</v>
      </c>
      <c r="B161" s="179">
        <v>2</v>
      </c>
      <c r="C161" s="179" t="s">
        <v>267</v>
      </c>
      <c r="D161" s="179">
        <v>8</v>
      </c>
      <c r="E161" s="179" t="s">
        <v>388</v>
      </c>
      <c r="F161" s="180" t="s">
        <v>389</v>
      </c>
    </row>
    <row r="162" spans="1:6" ht="16" x14ac:dyDescent="0.2">
      <c r="A162" s="178">
        <v>161</v>
      </c>
      <c r="B162" s="179">
        <v>2</v>
      </c>
      <c r="C162" s="179" t="s">
        <v>260</v>
      </c>
      <c r="D162" s="179">
        <v>9</v>
      </c>
      <c r="E162" s="179" t="s">
        <v>390</v>
      </c>
      <c r="F162" s="180" t="s">
        <v>391</v>
      </c>
    </row>
    <row r="163" spans="1:6" ht="16" x14ac:dyDescent="0.2">
      <c r="A163" s="178">
        <v>162</v>
      </c>
      <c r="B163" s="179">
        <v>2</v>
      </c>
      <c r="C163" s="179" t="s">
        <v>261</v>
      </c>
      <c r="D163" s="179">
        <v>9</v>
      </c>
      <c r="E163" s="179" t="s">
        <v>392</v>
      </c>
      <c r="F163" s="180" t="s">
        <v>393</v>
      </c>
    </row>
    <row r="164" spans="1:6" ht="16" x14ac:dyDescent="0.2">
      <c r="A164" s="178">
        <v>163</v>
      </c>
      <c r="B164" s="179">
        <v>2</v>
      </c>
      <c r="C164" s="179" t="s">
        <v>262</v>
      </c>
      <c r="D164" s="179">
        <v>9</v>
      </c>
      <c r="E164" s="179" t="s">
        <v>394</v>
      </c>
      <c r="F164" s="180" t="s">
        <v>395</v>
      </c>
    </row>
    <row r="165" spans="1:6" ht="16" x14ac:dyDescent="0.2">
      <c r="A165" s="178">
        <v>164</v>
      </c>
      <c r="B165" s="179">
        <v>2</v>
      </c>
      <c r="C165" s="179" t="s">
        <v>263</v>
      </c>
      <c r="D165" s="179">
        <v>9</v>
      </c>
      <c r="E165" s="179" t="s">
        <v>396</v>
      </c>
      <c r="F165" s="180" t="s">
        <v>397</v>
      </c>
    </row>
    <row r="166" spans="1:6" ht="16" x14ac:dyDescent="0.2">
      <c r="A166" s="178">
        <v>165</v>
      </c>
      <c r="B166" s="179">
        <v>2</v>
      </c>
      <c r="C166" s="179" t="s">
        <v>264</v>
      </c>
      <c r="D166" s="179">
        <v>9</v>
      </c>
      <c r="E166" s="179" t="s">
        <v>398</v>
      </c>
      <c r="F166" s="180" t="s">
        <v>399</v>
      </c>
    </row>
    <row r="167" spans="1:6" ht="16" x14ac:dyDescent="0.2">
      <c r="A167" s="178">
        <v>166</v>
      </c>
      <c r="B167" s="179">
        <v>2</v>
      </c>
      <c r="C167" s="179" t="s">
        <v>265</v>
      </c>
      <c r="D167" s="179">
        <v>9</v>
      </c>
      <c r="E167" s="179" t="s">
        <v>400</v>
      </c>
      <c r="F167" s="180" t="s">
        <v>401</v>
      </c>
    </row>
    <row r="168" spans="1:6" ht="16" x14ac:dyDescent="0.2">
      <c r="A168" s="178">
        <v>167</v>
      </c>
      <c r="B168" s="179">
        <v>2</v>
      </c>
      <c r="C168" s="179" t="s">
        <v>266</v>
      </c>
      <c r="D168" s="179">
        <v>9</v>
      </c>
      <c r="E168" s="179" t="s">
        <v>402</v>
      </c>
      <c r="F168" s="180" t="s">
        <v>403</v>
      </c>
    </row>
    <row r="169" spans="1:6" ht="16" x14ac:dyDescent="0.2">
      <c r="A169" s="181">
        <v>168</v>
      </c>
      <c r="B169" s="179">
        <v>2</v>
      </c>
      <c r="C169" s="179" t="s">
        <v>267</v>
      </c>
      <c r="D169" s="179">
        <v>9</v>
      </c>
      <c r="E169" s="179" t="s">
        <v>404</v>
      </c>
      <c r="F169" s="180" t="s">
        <v>405</v>
      </c>
    </row>
    <row r="170" spans="1:6" ht="16" x14ac:dyDescent="0.2">
      <c r="A170" s="178">
        <v>169</v>
      </c>
      <c r="B170" s="179">
        <v>2</v>
      </c>
      <c r="C170" s="179" t="s">
        <v>260</v>
      </c>
      <c r="D170" s="179">
        <v>10</v>
      </c>
      <c r="E170" s="179" t="s">
        <v>406</v>
      </c>
      <c r="F170" s="180" t="s">
        <v>407</v>
      </c>
    </row>
    <row r="171" spans="1:6" ht="16" x14ac:dyDescent="0.2">
      <c r="A171" s="178">
        <v>170</v>
      </c>
      <c r="B171" s="179">
        <v>2</v>
      </c>
      <c r="C171" s="179" t="s">
        <v>261</v>
      </c>
      <c r="D171" s="179">
        <v>10</v>
      </c>
      <c r="E171" s="179" t="s">
        <v>408</v>
      </c>
      <c r="F171" s="180" t="s">
        <v>409</v>
      </c>
    </row>
    <row r="172" spans="1:6" ht="16" x14ac:dyDescent="0.2">
      <c r="A172" s="178">
        <v>171</v>
      </c>
      <c r="B172" s="179">
        <v>2</v>
      </c>
      <c r="C172" s="179" t="s">
        <v>262</v>
      </c>
      <c r="D172" s="179">
        <v>10</v>
      </c>
      <c r="E172" s="179" t="s">
        <v>410</v>
      </c>
      <c r="F172" s="180" t="s">
        <v>411</v>
      </c>
    </row>
    <row r="173" spans="1:6" ht="16" x14ac:dyDescent="0.2">
      <c r="A173" s="178">
        <v>172</v>
      </c>
      <c r="B173" s="179">
        <v>2</v>
      </c>
      <c r="C173" s="179" t="s">
        <v>263</v>
      </c>
      <c r="D173" s="179">
        <v>10</v>
      </c>
      <c r="E173" s="179" t="s">
        <v>412</v>
      </c>
      <c r="F173" s="180" t="s">
        <v>413</v>
      </c>
    </row>
    <row r="174" spans="1:6" ht="16" x14ac:dyDescent="0.2">
      <c r="A174" s="178">
        <v>173</v>
      </c>
      <c r="B174" s="179">
        <v>2</v>
      </c>
      <c r="C174" s="179" t="s">
        <v>264</v>
      </c>
      <c r="D174" s="179">
        <v>10</v>
      </c>
      <c r="E174" s="179" t="s">
        <v>414</v>
      </c>
      <c r="F174" s="180" t="s">
        <v>415</v>
      </c>
    </row>
    <row r="175" spans="1:6" ht="16" x14ac:dyDescent="0.2">
      <c r="A175" s="178">
        <v>174</v>
      </c>
      <c r="B175" s="179">
        <v>2</v>
      </c>
      <c r="C175" s="179" t="s">
        <v>265</v>
      </c>
      <c r="D175" s="179">
        <v>10</v>
      </c>
      <c r="E175" s="179" t="s">
        <v>416</v>
      </c>
      <c r="F175" s="180" t="s">
        <v>417</v>
      </c>
    </row>
    <row r="176" spans="1:6" ht="16" x14ac:dyDescent="0.2">
      <c r="A176" s="178">
        <v>175</v>
      </c>
      <c r="B176" s="179">
        <v>2</v>
      </c>
      <c r="C176" s="179" t="s">
        <v>266</v>
      </c>
      <c r="D176" s="179">
        <v>10</v>
      </c>
      <c r="E176" s="179" t="s">
        <v>418</v>
      </c>
      <c r="F176" s="180" t="s">
        <v>419</v>
      </c>
    </row>
    <row r="177" spans="1:6" ht="16" x14ac:dyDescent="0.2">
      <c r="A177" s="181">
        <v>176</v>
      </c>
      <c r="B177" s="179">
        <v>2</v>
      </c>
      <c r="C177" s="179" t="s">
        <v>267</v>
      </c>
      <c r="D177" s="179">
        <v>10</v>
      </c>
      <c r="E177" s="179" t="s">
        <v>420</v>
      </c>
      <c r="F177" s="180" t="s">
        <v>421</v>
      </c>
    </row>
    <row r="178" spans="1:6" ht="16" x14ac:dyDescent="0.2">
      <c r="A178" s="178">
        <v>177</v>
      </c>
      <c r="B178" s="179">
        <v>2</v>
      </c>
      <c r="C178" s="179" t="s">
        <v>260</v>
      </c>
      <c r="D178" s="179">
        <v>11</v>
      </c>
      <c r="E178" s="179" t="s">
        <v>422</v>
      </c>
      <c r="F178" s="180" t="s">
        <v>423</v>
      </c>
    </row>
    <row r="179" spans="1:6" ht="16" x14ac:dyDescent="0.2">
      <c r="A179" s="178">
        <v>178</v>
      </c>
      <c r="B179" s="179">
        <v>2</v>
      </c>
      <c r="C179" s="179" t="s">
        <v>261</v>
      </c>
      <c r="D179" s="179">
        <v>11</v>
      </c>
      <c r="E179" s="179" t="s">
        <v>424</v>
      </c>
      <c r="F179" s="180" t="s">
        <v>425</v>
      </c>
    </row>
    <row r="180" spans="1:6" ht="16" x14ac:dyDescent="0.2">
      <c r="A180" s="178">
        <v>179</v>
      </c>
      <c r="B180" s="179">
        <v>2</v>
      </c>
      <c r="C180" s="179" t="s">
        <v>262</v>
      </c>
      <c r="D180" s="179">
        <v>11</v>
      </c>
      <c r="E180" s="179" t="s">
        <v>426</v>
      </c>
      <c r="F180" s="180" t="s">
        <v>427</v>
      </c>
    </row>
    <row r="181" spans="1:6" ht="16" x14ac:dyDescent="0.2">
      <c r="A181" s="178">
        <v>180</v>
      </c>
      <c r="B181" s="179">
        <v>2</v>
      </c>
      <c r="C181" s="179" t="s">
        <v>263</v>
      </c>
      <c r="D181" s="179">
        <v>11</v>
      </c>
      <c r="E181" s="179" t="s">
        <v>428</v>
      </c>
      <c r="F181" s="180" t="s">
        <v>429</v>
      </c>
    </row>
    <row r="182" spans="1:6" ht="16" x14ac:dyDescent="0.2">
      <c r="A182" s="178">
        <v>181</v>
      </c>
      <c r="B182" s="179">
        <v>2</v>
      </c>
      <c r="C182" s="179" t="s">
        <v>264</v>
      </c>
      <c r="D182" s="179">
        <v>11</v>
      </c>
      <c r="E182" s="179" t="s">
        <v>430</v>
      </c>
      <c r="F182" s="180" t="s">
        <v>431</v>
      </c>
    </row>
    <row r="183" spans="1:6" ht="16" x14ac:dyDescent="0.2">
      <c r="A183" s="178">
        <v>182</v>
      </c>
      <c r="B183" s="179">
        <v>2</v>
      </c>
      <c r="C183" s="179" t="s">
        <v>265</v>
      </c>
      <c r="D183" s="179">
        <v>11</v>
      </c>
      <c r="E183" s="179" t="s">
        <v>432</v>
      </c>
      <c r="F183" s="180" t="s">
        <v>433</v>
      </c>
    </row>
    <row r="184" spans="1:6" ht="16" x14ac:dyDescent="0.2">
      <c r="A184" s="178">
        <v>183</v>
      </c>
      <c r="B184" s="179">
        <v>2</v>
      </c>
      <c r="C184" s="179" t="s">
        <v>266</v>
      </c>
      <c r="D184" s="179">
        <v>11</v>
      </c>
      <c r="E184" s="179" t="s">
        <v>434</v>
      </c>
      <c r="F184" s="180" t="s">
        <v>435</v>
      </c>
    </row>
    <row r="185" spans="1:6" ht="16" x14ac:dyDescent="0.2">
      <c r="A185" s="181">
        <v>184</v>
      </c>
      <c r="B185" s="179">
        <v>2</v>
      </c>
      <c r="C185" s="179" t="s">
        <v>267</v>
      </c>
      <c r="D185" s="179">
        <v>11</v>
      </c>
      <c r="E185" s="179" t="s">
        <v>436</v>
      </c>
      <c r="F185" s="180" t="s">
        <v>437</v>
      </c>
    </row>
    <row r="186" spans="1:6" ht="16" x14ac:dyDescent="0.2">
      <c r="A186" s="183">
        <v>185</v>
      </c>
      <c r="B186" s="179">
        <v>2</v>
      </c>
      <c r="C186" s="179" t="s">
        <v>260</v>
      </c>
      <c r="D186" s="179">
        <v>12</v>
      </c>
      <c r="E186" s="179" t="s">
        <v>438</v>
      </c>
      <c r="F186" s="180" t="s">
        <v>439</v>
      </c>
    </row>
    <row r="187" spans="1:6" ht="16" x14ac:dyDescent="0.2">
      <c r="A187" s="183">
        <v>186</v>
      </c>
      <c r="B187" s="179">
        <v>2</v>
      </c>
      <c r="C187" s="179" t="s">
        <v>261</v>
      </c>
      <c r="D187" s="179">
        <v>12</v>
      </c>
      <c r="E187" s="179" t="s">
        <v>440</v>
      </c>
      <c r="F187" s="180" t="s">
        <v>441</v>
      </c>
    </row>
    <row r="188" spans="1:6" ht="16" x14ac:dyDescent="0.2">
      <c r="A188" s="183">
        <v>187</v>
      </c>
      <c r="B188" s="179">
        <v>2</v>
      </c>
      <c r="C188" s="179" t="s">
        <v>262</v>
      </c>
      <c r="D188" s="179">
        <v>12</v>
      </c>
      <c r="E188" s="179" t="s">
        <v>442</v>
      </c>
      <c r="F188" s="180" t="s">
        <v>443</v>
      </c>
    </row>
    <row r="189" spans="1:6" ht="16" x14ac:dyDescent="0.2">
      <c r="A189" s="183">
        <v>188</v>
      </c>
      <c r="B189" s="179">
        <v>2</v>
      </c>
      <c r="C189" s="179" t="s">
        <v>263</v>
      </c>
      <c r="D189" s="179">
        <v>12</v>
      </c>
      <c r="E189" s="179" t="s">
        <v>444</v>
      </c>
      <c r="F189" s="180" t="s">
        <v>445</v>
      </c>
    </row>
    <row r="190" spans="1:6" ht="16" x14ac:dyDescent="0.2">
      <c r="A190" s="183">
        <v>189</v>
      </c>
      <c r="B190" s="179">
        <v>2</v>
      </c>
      <c r="C190" s="179" t="s">
        <v>264</v>
      </c>
      <c r="D190" s="179">
        <v>12</v>
      </c>
      <c r="E190" s="179" t="s">
        <v>446</v>
      </c>
      <c r="F190" s="180" t="s">
        <v>447</v>
      </c>
    </row>
    <row r="191" spans="1:6" ht="16" x14ac:dyDescent="0.2">
      <c r="A191" s="183">
        <v>190</v>
      </c>
      <c r="B191" s="179">
        <v>2</v>
      </c>
      <c r="C191" s="179" t="s">
        <v>265</v>
      </c>
      <c r="D191" s="179">
        <v>12</v>
      </c>
      <c r="E191" s="179" t="s">
        <v>448</v>
      </c>
      <c r="F191" s="180" t="s">
        <v>449</v>
      </c>
    </row>
    <row r="192" spans="1:6" ht="16" x14ac:dyDescent="0.2">
      <c r="A192" s="183">
        <v>191</v>
      </c>
      <c r="B192" s="179">
        <v>2</v>
      </c>
      <c r="C192" s="179" t="s">
        <v>266</v>
      </c>
      <c r="D192" s="179">
        <v>12</v>
      </c>
      <c r="E192" s="179" t="s">
        <v>450</v>
      </c>
      <c r="F192" s="180" t="s">
        <v>451</v>
      </c>
    </row>
    <row r="193" spans="1:6" ht="16" x14ac:dyDescent="0.2">
      <c r="A193" s="184">
        <v>192</v>
      </c>
      <c r="B193" s="179">
        <v>2</v>
      </c>
      <c r="C193" s="179" t="s">
        <v>267</v>
      </c>
      <c r="D193" s="179">
        <v>12</v>
      </c>
      <c r="E193" s="179" t="s">
        <v>452</v>
      </c>
      <c r="F193" s="180" t="s">
        <v>453</v>
      </c>
    </row>
    <row r="194" spans="1:6" ht="16" x14ac:dyDescent="0.2">
      <c r="A194" s="178">
        <v>193</v>
      </c>
      <c r="B194" s="179">
        <v>3</v>
      </c>
      <c r="C194" s="179" t="s">
        <v>260</v>
      </c>
      <c r="D194" s="179">
        <v>1</v>
      </c>
      <c r="E194" s="179" t="s">
        <v>454</v>
      </c>
      <c r="F194" s="180" t="s">
        <v>455</v>
      </c>
    </row>
    <row r="195" spans="1:6" ht="16" x14ac:dyDescent="0.2">
      <c r="A195" s="178">
        <v>194</v>
      </c>
      <c r="B195" s="179">
        <v>3</v>
      </c>
      <c r="C195" s="179" t="s">
        <v>261</v>
      </c>
      <c r="D195" s="179">
        <v>1</v>
      </c>
      <c r="E195" s="179" t="s">
        <v>456</v>
      </c>
      <c r="F195" s="180" t="s">
        <v>457</v>
      </c>
    </row>
    <row r="196" spans="1:6" ht="16" x14ac:dyDescent="0.2">
      <c r="A196" s="178">
        <v>195</v>
      </c>
      <c r="B196" s="179">
        <v>3</v>
      </c>
      <c r="C196" s="179" t="s">
        <v>262</v>
      </c>
      <c r="D196" s="179">
        <v>1</v>
      </c>
      <c r="E196" s="179" t="s">
        <v>458</v>
      </c>
      <c r="F196" s="180" t="s">
        <v>459</v>
      </c>
    </row>
    <row r="197" spans="1:6" ht="16" x14ac:dyDescent="0.2">
      <c r="A197" s="178">
        <v>196</v>
      </c>
      <c r="B197" s="179">
        <v>3</v>
      </c>
      <c r="C197" s="179" t="s">
        <v>263</v>
      </c>
      <c r="D197" s="179">
        <v>1</v>
      </c>
      <c r="E197" s="179" t="s">
        <v>460</v>
      </c>
      <c r="F197" s="180" t="s">
        <v>461</v>
      </c>
    </row>
    <row r="198" spans="1:6" ht="16" x14ac:dyDescent="0.2">
      <c r="A198" s="178">
        <v>197</v>
      </c>
      <c r="B198" s="179">
        <v>3</v>
      </c>
      <c r="C198" s="179" t="s">
        <v>264</v>
      </c>
      <c r="D198" s="179">
        <v>1</v>
      </c>
      <c r="E198" s="179" t="s">
        <v>462</v>
      </c>
      <c r="F198" s="180" t="s">
        <v>463</v>
      </c>
    </row>
    <row r="199" spans="1:6" ht="16" x14ac:dyDescent="0.2">
      <c r="A199" s="178">
        <v>198</v>
      </c>
      <c r="B199" s="179">
        <v>3</v>
      </c>
      <c r="C199" s="179" t="s">
        <v>265</v>
      </c>
      <c r="D199" s="179">
        <v>1</v>
      </c>
      <c r="E199" s="179" t="s">
        <v>464</v>
      </c>
      <c r="F199" s="180" t="s">
        <v>465</v>
      </c>
    </row>
    <row r="200" spans="1:6" ht="16" x14ac:dyDescent="0.2">
      <c r="A200" s="178">
        <v>199</v>
      </c>
      <c r="B200" s="179">
        <v>3</v>
      </c>
      <c r="C200" s="179" t="s">
        <v>266</v>
      </c>
      <c r="D200" s="179">
        <v>1</v>
      </c>
      <c r="E200" s="179" t="s">
        <v>466</v>
      </c>
      <c r="F200" s="180" t="s">
        <v>467</v>
      </c>
    </row>
    <row r="201" spans="1:6" ht="16" x14ac:dyDescent="0.2">
      <c r="A201" s="181">
        <v>200</v>
      </c>
      <c r="B201" s="179">
        <v>3</v>
      </c>
      <c r="C201" s="179" t="s">
        <v>267</v>
      </c>
      <c r="D201" s="179">
        <v>1</v>
      </c>
      <c r="E201" s="179" t="s">
        <v>468</v>
      </c>
      <c r="F201" s="180" t="s">
        <v>469</v>
      </c>
    </row>
    <row r="202" spans="1:6" ht="16" x14ac:dyDescent="0.2">
      <c r="A202" s="178">
        <v>201</v>
      </c>
      <c r="B202" s="179">
        <v>3</v>
      </c>
      <c r="C202" s="179" t="s">
        <v>260</v>
      </c>
      <c r="D202" s="179">
        <v>2</v>
      </c>
      <c r="E202" s="179" t="s">
        <v>470</v>
      </c>
      <c r="F202" s="180" t="s">
        <v>471</v>
      </c>
    </row>
    <row r="203" spans="1:6" ht="16" x14ac:dyDescent="0.2">
      <c r="A203" s="178">
        <v>202</v>
      </c>
      <c r="B203" s="179">
        <v>3</v>
      </c>
      <c r="C203" s="179" t="s">
        <v>261</v>
      </c>
      <c r="D203" s="179">
        <v>2</v>
      </c>
      <c r="E203" s="179" t="s">
        <v>472</v>
      </c>
      <c r="F203" s="180" t="s">
        <v>473</v>
      </c>
    </row>
    <row r="204" spans="1:6" ht="16" x14ac:dyDescent="0.2">
      <c r="A204" s="178">
        <v>203</v>
      </c>
      <c r="B204" s="179">
        <v>3</v>
      </c>
      <c r="C204" s="179" t="s">
        <v>262</v>
      </c>
      <c r="D204" s="179">
        <v>2</v>
      </c>
      <c r="E204" s="179" t="s">
        <v>474</v>
      </c>
      <c r="F204" s="180" t="s">
        <v>475</v>
      </c>
    </row>
    <row r="205" spans="1:6" ht="16" x14ac:dyDescent="0.2">
      <c r="A205" s="178">
        <v>204</v>
      </c>
      <c r="B205" s="179">
        <v>3</v>
      </c>
      <c r="C205" s="179" t="s">
        <v>263</v>
      </c>
      <c r="D205" s="179">
        <v>2</v>
      </c>
      <c r="E205" s="179" t="s">
        <v>476</v>
      </c>
      <c r="F205" s="180" t="s">
        <v>477</v>
      </c>
    </row>
    <row r="206" spans="1:6" ht="16" x14ac:dyDescent="0.2">
      <c r="A206" s="178">
        <v>205</v>
      </c>
      <c r="B206" s="179">
        <v>3</v>
      </c>
      <c r="C206" s="179" t="s">
        <v>264</v>
      </c>
      <c r="D206" s="179">
        <v>2</v>
      </c>
      <c r="E206" s="179" t="s">
        <v>478</v>
      </c>
      <c r="F206" s="180" t="s">
        <v>479</v>
      </c>
    </row>
    <row r="207" spans="1:6" ht="16" x14ac:dyDescent="0.2">
      <c r="A207" s="178">
        <v>206</v>
      </c>
      <c r="B207" s="179">
        <v>3</v>
      </c>
      <c r="C207" s="179" t="s">
        <v>265</v>
      </c>
      <c r="D207" s="179">
        <v>2</v>
      </c>
      <c r="E207" s="179" t="s">
        <v>480</v>
      </c>
      <c r="F207" s="180" t="s">
        <v>481</v>
      </c>
    </row>
    <row r="208" spans="1:6" ht="16" x14ac:dyDescent="0.2">
      <c r="A208" s="178">
        <v>207</v>
      </c>
      <c r="B208" s="179">
        <v>3</v>
      </c>
      <c r="C208" s="179" t="s">
        <v>266</v>
      </c>
      <c r="D208" s="179">
        <v>2</v>
      </c>
      <c r="E208" s="179" t="s">
        <v>482</v>
      </c>
      <c r="F208" s="180" t="s">
        <v>483</v>
      </c>
    </row>
    <row r="209" spans="1:6" ht="16" x14ac:dyDescent="0.2">
      <c r="A209" s="181">
        <v>208</v>
      </c>
      <c r="B209" s="179">
        <v>3</v>
      </c>
      <c r="C209" s="179" t="s">
        <v>267</v>
      </c>
      <c r="D209" s="179">
        <v>2</v>
      </c>
      <c r="E209" s="179" t="s">
        <v>484</v>
      </c>
      <c r="F209" s="180" t="s">
        <v>485</v>
      </c>
    </row>
    <row r="210" spans="1:6" ht="16" x14ac:dyDescent="0.2">
      <c r="A210" s="178">
        <v>209</v>
      </c>
      <c r="B210" s="179">
        <v>3</v>
      </c>
      <c r="C210" s="179" t="s">
        <v>260</v>
      </c>
      <c r="D210" s="179">
        <v>3</v>
      </c>
      <c r="E210" s="179" t="s">
        <v>486</v>
      </c>
      <c r="F210" s="180" t="s">
        <v>487</v>
      </c>
    </row>
    <row r="211" spans="1:6" ht="16" x14ac:dyDescent="0.2">
      <c r="A211" s="178">
        <v>210</v>
      </c>
      <c r="B211" s="179">
        <v>3</v>
      </c>
      <c r="C211" s="179" t="s">
        <v>261</v>
      </c>
      <c r="D211" s="179">
        <v>3</v>
      </c>
      <c r="E211" s="179" t="s">
        <v>488</v>
      </c>
      <c r="F211" s="180" t="s">
        <v>489</v>
      </c>
    </row>
    <row r="212" spans="1:6" ht="16" x14ac:dyDescent="0.2">
      <c r="A212" s="178">
        <v>211</v>
      </c>
      <c r="B212" s="179">
        <v>3</v>
      </c>
      <c r="C212" s="179" t="s">
        <v>262</v>
      </c>
      <c r="D212" s="179">
        <v>3</v>
      </c>
      <c r="E212" s="179" t="s">
        <v>490</v>
      </c>
      <c r="F212" s="180" t="s">
        <v>491</v>
      </c>
    </row>
    <row r="213" spans="1:6" ht="16" x14ac:dyDescent="0.2">
      <c r="A213" s="178">
        <v>212</v>
      </c>
      <c r="B213" s="179">
        <v>3</v>
      </c>
      <c r="C213" s="179" t="s">
        <v>263</v>
      </c>
      <c r="D213" s="179">
        <v>3</v>
      </c>
      <c r="E213" s="179" t="s">
        <v>492</v>
      </c>
      <c r="F213" s="180" t="s">
        <v>493</v>
      </c>
    </row>
    <row r="214" spans="1:6" ht="16" x14ac:dyDescent="0.2">
      <c r="A214" s="178">
        <v>213</v>
      </c>
      <c r="B214" s="179">
        <v>3</v>
      </c>
      <c r="C214" s="179" t="s">
        <v>264</v>
      </c>
      <c r="D214" s="179">
        <v>3</v>
      </c>
      <c r="E214" s="179" t="s">
        <v>494</v>
      </c>
      <c r="F214" s="180" t="s">
        <v>495</v>
      </c>
    </row>
    <row r="215" spans="1:6" ht="16" x14ac:dyDescent="0.2">
      <c r="A215" s="178">
        <v>214</v>
      </c>
      <c r="B215" s="179">
        <v>3</v>
      </c>
      <c r="C215" s="179" t="s">
        <v>265</v>
      </c>
      <c r="D215" s="179">
        <v>3</v>
      </c>
      <c r="E215" s="179" t="s">
        <v>496</v>
      </c>
      <c r="F215" s="180" t="s">
        <v>497</v>
      </c>
    </row>
    <row r="216" spans="1:6" ht="16" x14ac:dyDescent="0.2">
      <c r="A216" s="178">
        <v>215</v>
      </c>
      <c r="B216" s="179">
        <v>3</v>
      </c>
      <c r="C216" s="179" t="s">
        <v>266</v>
      </c>
      <c r="D216" s="179">
        <v>3</v>
      </c>
      <c r="E216" s="179" t="s">
        <v>498</v>
      </c>
      <c r="F216" s="180" t="s">
        <v>499</v>
      </c>
    </row>
    <row r="217" spans="1:6" ht="16" x14ac:dyDescent="0.2">
      <c r="A217" s="181">
        <v>216</v>
      </c>
      <c r="B217" s="179">
        <v>3</v>
      </c>
      <c r="C217" s="179" t="s">
        <v>267</v>
      </c>
      <c r="D217" s="179">
        <v>3</v>
      </c>
      <c r="E217" s="179" t="s">
        <v>500</v>
      </c>
      <c r="F217" s="180" t="s">
        <v>501</v>
      </c>
    </row>
    <row r="218" spans="1:6" ht="16" x14ac:dyDescent="0.2">
      <c r="A218" s="178">
        <v>217</v>
      </c>
      <c r="B218" s="179">
        <v>3</v>
      </c>
      <c r="C218" s="179" t="s">
        <v>260</v>
      </c>
      <c r="D218" s="179">
        <v>4</v>
      </c>
      <c r="E218" s="179" t="s">
        <v>502</v>
      </c>
      <c r="F218" s="180" t="s">
        <v>503</v>
      </c>
    </row>
    <row r="219" spans="1:6" ht="16" x14ac:dyDescent="0.2">
      <c r="A219" s="178">
        <v>218</v>
      </c>
      <c r="B219" s="179">
        <v>3</v>
      </c>
      <c r="C219" s="179" t="s">
        <v>261</v>
      </c>
      <c r="D219" s="179">
        <v>4</v>
      </c>
      <c r="E219" s="179" t="s">
        <v>504</v>
      </c>
      <c r="F219" s="180" t="s">
        <v>505</v>
      </c>
    </row>
    <row r="220" spans="1:6" ht="16" x14ac:dyDescent="0.2">
      <c r="A220" s="178">
        <v>219</v>
      </c>
      <c r="B220" s="179">
        <v>3</v>
      </c>
      <c r="C220" s="179" t="s">
        <v>262</v>
      </c>
      <c r="D220" s="179">
        <v>4</v>
      </c>
      <c r="E220" s="179" t="s">
        <v>506</v>
      </c>
      <c r="F220" s="180" t="s">
        <v>507</v>
      </c>
    </row>
    <row r="221" spans="1:6" ht="16" x14ac:dyDescent="0.2">
      <c r="A221" s="178">
        <v>220</v>
      </c>
      <c r="B221" s="179">
        <v>3</v>
      </c>
      <c r="C221" s="179" t="s">
        <v>263</v>
      </c>
      <c r="D221" s="179">
        <v>4</v>
      </c>
      <c r="E221" s="179" t="s">
        <v>508</v>
      </c>
      <c r="F221" s="180" t="s">
        <v>509</v>
      </c>
    </row>
    <row r="222" spans="1:6" ht="16" x14ac:dyDescent="0.2">
      <c r="A222" s="178">
        <v>221</v>
      </c>
      <c r="B222" s="179">
        <v>3</v>
      </c>
      <c r="C222" s="179" t="s">
        <v>264</v>
      </c>
      <c r="D222" s="179">
        <v>4</v>
      </c>
      <c r="E222" s="179" t="s">
        <v>510</v>
      </c>
      <c r="F222" s="180" t="s">
        <v>511</v>
      </c>
    </row>
    <row r="223" spans="1:6" ht="16" x14ac:dyDescent="0.2">
      <c r="A223" s="178">
        <v>222</v>
      </c>
      <c r="B223" s="179">
        <v>3</v>
      </c>
      <c r="C223" s="179" t="s">
        <v>265</v>
      </c>
      <c r="D223" s="179">
        <v>4</v>
      </c>
      <c r="E223" s="179" t="s">
        <v>512</v>
      </c>
      <c r="F223" s="180" t="s">
        <v>513</v>
      </c>
    </row>
    <row r="224" spans="1:6" ht="16" x14ac:dyDescent="0.2">
      <c r="A224" s="178">
        <v>223</v>
      </c>
      <c r="B224" s="179">
        <v>3</v>
      </c>
      <c r="C224" s="179" t="s">
        <v>266</v>
      </c>
      <c r="D224" s="179">
        <v>4</v>
      </c>
      <c r="E224" s="179" t="s">
        <v>514</v>
      </c>
      <c r="F224" s="180" t="s">
        <v>515</v>
      </c>
    </row>
    <row r="225" spans="1:6" ht="16" x14ac:dyDescent="0.2">
      <c r="A225" s="181">
        <v>224</v>
      </c>
      <c r="B225" s="179">
        <v>3</v>
      </c>
      <c r="C225" s="179" t="s">
        <v>267</v>
      </c>
      <c r="D225" s="179">
        <v>4</v>
      </c>
      <c r="E225" s="179" t="s">
        <v>516</v>
      </c>
      <c r="F225" s="180" t="s">
        <v>517</v>
      </c>
    </row>
    <row r="226" spans="1:6" ht="16" x14ac:dyDescent="0.2">
      <c r="A226" s="178">
        <v>225</v>
      </c>
      <c r="B226" s="179">
        <v>3</v>
      </c>
      <c r="C226" s="179" t="s">
        <v>260</v>
      </c>
      <c r="D226" s="179">
        <v>5</v>
      </c>
      <c r="E226" s="179" t="s">
        <v>518</v>
      </c>
      <c r="F226" s="180" t="s">
        <v>519</v>
      </c>
    </row>
    <row r="227" spans="1:6" ht="16" x14ac:dyDescent="0.2">
      <c r="A227" s="178">
        <v>226</v>
      </c>
      <c r="B227" s="179">
        <v>3</v>
      </c>
      <c r="C227" s="179" t="s">
        <v>261</v>
      </c>
      <c r="D227" s="179">
        <v>5</v>
      </c>
      <c r="E227" s="179" t="s">
        <v>520</v>
      </c>
      <c r="F227" s="180" t="s">
        <v>521</v>
      </c>
    </row>
    <row r="228" spans="1:6" ht="16" x14ac:dyDescent="0.2">
      <c r="A228" s="178">
        <v>227</v>
      </c>
      <c r="B228" s="179">
        <v>3</v>
      </c>
      <c r="C228" s="179" t="s">
        <v>262</v>
      </c>
      <c r="D228" s="179">
        <v>5</v>
      </c>
      <c r="E228" s="179" t="s">
        <v>522</v>
      </c>
      <c r="F228" s="180" t="s">
        <v>523</v>
      </c>
    </row>
    <row r="229" spans="1:6" ht="16" x14ac:dyDescent="0.2">
      <c r="A229" s="178">
        <v>228</v>
      </c>
      <c r="B229" s="179">
        <v>3</v>
      </c>
      <c r="C229" s="179" t="s">
        <v>263</v>
      </c>
      <c r="D229" s="179">
        <v>5</v>
      </c>
      <c r="E229" s="179" t="s">
        <v>524</v>
      </c>
      <c r="F229" s="180" t="s">
        <v>525</v>
      </c>
    </row>
    <row r="230" spans="1:6" ht="16" x14ac:dyDescent="0.2">
      <c r="A230" s="178">
        <v>229</v>
      </c>
      <c r="B230" s="179">
        <v>3</v>
      </c>
      <c r="C230" s="179" t="s">
        <v>264</v>
      </c>
      <c r="D230" s="179">
        <v>5</v>
      </c>
      <c r="E230" s="179" t="s">
        <v>526</v>
      </c>
      <c r="F230" s="180" t="s">
        <v>527</v>
      </c>
    </row>
    <row r="231" spans="1:6" ht="16" x14ac:dyDescent="0.2">
      <c r="A231" s="178">
        <v>230</v>
      </c>
      <c r="B231" s="179">
        <v>3</v>
      </c>
      <c r="C231" s="179" t="s">
        <v>265</v>
      </c>
      <c r="D231" s="179">
        <v>5</v>
      </c>
      <c r="E231" s="179" t="s">
        <v>528</v>
      </c>
      <c r="F231" s="180" t="s">
        <v>529</v>
      </c>
    </row>
    <row r="232" spans="1:6" ht="16" x14ac:dyDescent="0.2">
      <c r="A232" s="178">
        <v>231</v>
      </c>
      <c r="B232" s="179">
        <v>3</v>
      </c>
      <c r="C232" s="179" t="s">
        <v>266</v>
      </c>
      <c r="D232" s="179">
        <v>5</v>
      </c>
      <c r="E232" s="179" t="s">
        <v>530</v>
      </c>
      <c r="F232" s="180" t="s">
        <v>531</v>
      </c>
    </row>
    <row r="233" spans="1:6" ht="16" x14ac:dyDescent="0.2">
      <c r="A233" s="181">
        <v>232</v>
      </c>
      <c r="B233" s="179">
        <v>3</v>
      </c>
      <c r="C233" s="179" t="s">
        <v>267</v>
      </c>
      <c r="D233" s="179">
        <v>5</v>
      </c>
      <c r="E233" s="179" t="s">
        <v>532</v>
      </c>
      <c r="F233" s="180" t="s">
        <v>533</v>
      </c>
    </row>
    <row r="234" spans="1:6" ht="16" x14ac:dyDescent="0.2">
      <c r="A234" s="178">
        <v>233</v>
      </c>
      <c r="B234" s="179">
        <v>3</v>
      </c>
      <c r="C234" s="179" t="s">
        <v>260</v>
      </c>
      <c r="D234" s="179">
        <v>6</v>
      </c>
      <c r="E234" s="179" t="s">
        <v>534</v>
      </c>
      <c r="F234" s="180" t="s">
        <v>535</v>
      </c>
    </row>
    <row r="235" spans="1:6" ht="16" x14ac:dyDescent="0.2">
      <c r="A235" s="178">
        <v>234</v>
      </c>
      <c r="B235" s="179">
        <v>3</v>
      </c>
      <c r="C235" s="179" t="s">
        <v>261</v>
      </c>
      <c r="D235" s="179">
        <v>6</v>
      </c>
      <c r="E235" s="179" t="s">
        <v>536</v>
      </c>
      <c r="F235" s="180" t="s">
        <v>537</v>
      </c>
    </row>
    <row r="236" spans="1:6" ht="16" x14ac:dyDescent="0.2">
      <c r="A236" s="178">
        <v>235</v>
      </c>
      <c r="B236" s="179">
        <v>3</v>
      </c>
      <c r="C236" s="179" t="s">
        <v>262</v>
      </c>
      <c r="D236" s="179">
        <v>6</v>
      </c>
      <c r="E236" s="179" t="s">
        <v>538</v>
      </c>
      <c r="F236" s="180" t="s">
        <v>539</v>
      </c>
    </row>
    <row r="237" spans="1:6" ht="16" x14ac:dyDescent="0.2">
      <c r="A237" s="178">
        <v>236</v>
      </c>
      <c r="B237" s="179">
        <v>3</v>
      </c>
      <c r="C237" s="179" t="s">
        <v>263</v>
      </c>
      <c r="D237" s="179">
        <v>6</v>
      </c>
      <c r="E237" s="179" t="s">
        <v>540</v>
      </c>
      <c r="F237" s="180" t="s">
        <v>541</v>
      </c>
    </row>
    <row r="238" spans="1:6" ht="16" x14ac:dyDescent="0.2">
      <c r="A238" s="178">
        <v>237</v>
      </c>
      <c r="B238" s="179">
        <v>3</v>
      </c>
      <c r="C238" s="179" t="s">
        <v>264</v>
      </c>
      <c r="D238" s="179">
        <v>6</v>
      </c>
      <c r="E238" s="179" t="s">
        <v>542</v>
      </c>
      <c r="F238" s="180" t="s">
        <v>543</v>
      </c>
    </row>
    <row r="239" spans="1:6" ht="16" x14ac:dyDescent="0.2">
      <c r="A239" s="178">
        <v>238</v>
      </c>
      <c r="B239" s="179">
        <v>3</v>
      </c>
      <c r="C239" s="179" t="s">
        <v>265</v>
      </c>
      <c r="D239" s="179">
        <v>6</v>
      </c>
      <c r="E239" s="179" t="s">
        <v>544</v>
      </c>
      <c r="F239" s="180" t="s">
        <v>545</v>
      </c>
    </row>
    <row r="240" spans="1:6" ht="16" x14ac:dyDescent="0.2">
      <c r="A240" s="178">
        <v>239</v>
      </c>
      <c r="B240" s="179">
        <v>3</v>
      </c>
      <c r="C240" s="179" t="s">
        <v>266</v>
      </c>
      <c r="D240" s="179">
        <v>6</v>
      </c>
      <c r="E240" s="179" t="s">
        <v>546</v>
      </c>
      <c r="F240" s="180" t="s">
        <v>547</v>
      </c>
    </row>
    <row r="241" spans="1:6" ht="16" x14ac:dyDescent="0.2">
      <c r="A241" s="181">
        <v>240</v>
      </c>
      <c r="B241" s="179">
        <v>3</v>
      </c>
      <c r="C241" s="179" t="s">
        <v>267</v>
      </c>
      <c r="D241" s="179">
        <v>6</v>
      </c>
      <c r="E241" s="179" t="s">
        <v>548</v>
      </c>
      <c r="F241" s="180" t="s">
        <v>549</v>
      </c>
    </row>
    <row r="242" spans="1:6" ht="16" x14ac:dyDescent="0.2">
      <c r="A242" s="178">
        <v>241</v>
      </c>
      <c r="B242" s="179">
        <v>3</v>
      </c>
      <c r="C242" s="179" t="s">
        <v>260</v>
      </c>
      <c r="D242" s="179">
        <v>7</v>
      </c>
      <c r="E242" s="179" t="s">
        <v>550</v>
      </c>
      <c r="F242" s="180" t="s">
        <v>551</v>
      </c>
    </row>
    <row r="243" spans="1:6" ht="16" x14ac:dyDescent="0.2">
      <c r="A243" s="178">
        <v>242</v>
      </c>
      <c r="B243" s="179">
        <v>3</v>
      </c>
      <c r="C243" s="179" t="s">
        <v>261</v>
      </c>
      <c r="D243" s="179">
        <v>7</v>
      </c>
      <c r="E243" s="179" t="s">
        <v>552</v>
      </c>
      <c r="F243" s="180" t="s">
        <v>553</v>
      </c>
    </row>
    <row r="244" spans="1:6" ht="16" x14ac:dyDescent="0.2">
      <c r="A244" s="178">
        <v>243</v>
      </c>
      <c r="B244" s="179">
        <v>3</v>
      </c>
      <c r="C244" s="179" t="s">
        <v>262</v>
      </c>
      <c r="D244" s="179">
        <v>7</v>
      </c>
      <c r="E244" s="179" t="s">
        <v>554</v>
      </c>
      <c r="F244" s="180" t="s">
        <v>555</v>
      </c>
    </row>
    <row r="245" spans="1:6" ht="16" x14ac:dyDescent="0.2">
      <c r="A245" s="178">
        <v>244</v>
      </c>
      <c r="B245" s="179">
        <v>3</v>
      </c>
      <c r="C245" s="179" t="s">
        <v>263</v>
      </c>
      <c r="D245" s="179">
        <v>7</v>
      </c>
      <c r="E245" s="179" t="s">
        <v>556</v>
      </c>
      <c r="F245" s="180" t="s">
        <v>557</v>
      </c>
    </row>
    <row r="246" spans="1:6" ht="16" x14ac:dyDescent="0.2">
      <c r="A246" s="178">
        <v>245</v>
      </c>
      <c r="B246" s="179">
        <v>3</v>
      </c>
      <c r="C246" s="179" t="s">
        <v>264</v>
      </c>
      <c r="D246" s="179">
        <v>7</v>
      </c>
      <c r="E246" s="179" t="s">
        <v>558</v>
      </c>
      <c r="F246" s="180" t="s">
        <v>559</v>
      </c>
    </row>
    <row r="247" spans="1:6" ht="16" x14ac:dyDescent="0.2">
      <c r="A247" s="178">
        <v>246</v>
      </c>
      <c r="B247" s="179">
        <v>3</v>
      </c>
      <c r="C247" s="179" t="s">
        <v>265</v>
      </c>
      <c r="D247" s="179">
        <v>7</v>
      </c>
      <c r="E247" s="179" t="s">
        <v>560</v>
      </c>
      <c r="F247" s="180" t="s">
        <v>561</v>
      </c>
    </row>
    <row r="248" spans="1:6" ht="16" x14ac:dyDescent="0.2">
      <c r="A248" s="178">
        <v>247</v>
      </c>
      <c r="B248" s="179">
        <v>3</v>
      </c>
      <c r="C248" s="179" t="s">
        <v>266</v>
      </c>
      <c r="D248" s="179">
        <v>7</v>
      </c>
      <c r="E248" s="179" t="s">
        <v>562</v>
      </c>
      <c r="F248" s="180" t="s">
        <v>563</v>
      </c>
    </row>
    <row r="249" spans="1:6" ht="16" x14ac:dyDescent="0.2">
      <c r="A249" s="181">
        <v>248</v>
      </c>
      <c r="B249" s="179">
        <v>3</v>
      </c>
      <c r="C249" s="179" t="s">
        <v>267</v>
      </c>
      <c r="D249" s="179">
        <v>7</v>
      </c>
      <c r="E249" s="179" t="s">
        <v>564</v>
      </c>
      <c r="F249" s="180" t="s">
        <v>565</v>
      </c>
    </row>
    <row r="250" spans="1:6" ht="16" x14ac:dyDescent="0.2">
      <c r="A250" s="178">
        <v>249</v>
      </c>
      <c r="B250" s="179">
        <v>3</v>
      </c>
      <c r="C250" s="179" t="s">
        <v>260</v>
      </c>
      <c r="D250" s="179">
        <v>8</v>
      </c>
      <c r="E250" s="179" t="s">
        <v>566</v>
      </c>
      <c r="F250" s="180" t="s">
        <v>567</v>
      </c>
    </row>
    <row r="251" spans="1:6" ht="16" x14ac:dyDescent="0.2">
      <c r="A251" s="178">
        <v>250</v>
      </c>
      <c r="B251" s="179">
        <v>3</v>
      </c>
      <c r="C251" s="179" t="s">
        <v>261</v>
      </c>
      <c r="D251" s="179">
        <v>8</v>
      </c>
      <c r="E251" s="179" t="s">
        <v>568</v>
      </c>
      <c r="F251" s="180" t="s">
        <v>569</v>
      </c>
    </row>
    <row r="252" spans="1:6" ht="16" x14ac:dyDescent="0.2">
      <c r="A252" s="178">
        <v>251</v>
      </c>
      <c r="B252" s="179">
        <v>3</v>
      </c>
      <c r="C252" s="179" t="s">
        <v>262</v>
      </c>
      <c r="D252" s="179">
        <v>8</v>
      </c>
      <c r="E252" s="179" t="s">
        <v>570</v>
      </c>
      <c r="F252" s="180" t="s">
        <v>571</v>
      </c>
    </row>
    <row r="253" spans="1:6" ht="16" x14ac:dyDescent="0.2">
      <c r="A253" s="178">
        <v>252</v>
      </c>
      <c r="B253" s="179">
        <v>3</v>
      </c>
      <c r="C253" s="179" t="s">
        <v>263</v>
      </c>
      <c r="D253" s="179">
        <v>8</v>
      </c>
      <c r="E253" s="179" t="s">
        <v>572</v>
      </c>
      <c r="F253" s="180" t="s">
        <v>573</v>
      </c>
    </row>
    <row r="254" spans="1:6" ht="16" x14ac:dyDescent="0.2">
      <c r="A254" s="178">
        <v>253</v>
      </c>
      <c r="B254" s="179">
        <v>3</v>
      </c>
      <c r="C254" s="179" t="s">
        <v>264</v>
      </c>
      <c r="D254" s="179">
        <v>8</v>
      </c>
      <c r="E254" s="179" t="s">
        <v>574</v>
      </c>
      <c r="F254" s="180" t="s">
        <v>575</v>
      </c>
    </row>
    <row r="255" spans="1:6" ht="16" x14ac:dyDescent="0.2">
      <c r="A255" s="178">
        <v>254</v>
      </c>
      <c r="B255" s="179">
        <v>3</v>
      </c>
      <c r="C255" s="179" t="s">
        <v>265</v>
      </c>
      <c r="D255" s="179">
        <v>8</v>
      </c>
      <c r="E255" s="179" t="s">
        <v>576</v>
      </c>
      <c r="F255" s="180" t="s">
        <v>577</v>
      </c>
    </row>
    <row r="256" spans="1:6" ht="16" x14ac:dyDescent="0.2">
      <c r="A256" s="178">
        <v>255</v>
      </c>
      <c r="B256" s="179">
        <v>3</v>
      </c>
      <c r="C256" s="179" t="s">
        <v>266</v>
      </c>
      <c r="D256" s="179">
        <v>8</v>
      </c>
      <c r="E256" s="179" t="s">
        <v>578</v>
      </c>
      <c r="F256" s="180" t="s">
        <v>579</v>
      </c>
    </row>
    <row r="257" spans="1:6" ht="16" x14ac:dyDescent="0.2">
      <c r="A257" s="181">
        <v>256</v>
      </c>
      <c r="B257" s="179">
        <v>3</v>
      </c>
      <c r="C257" s="179" t="s">
        <v>267</v>
      </c>
      <c r="D257" s="179">
        <v>8</v>
      </c>
      <c r="E257" s="179" t="s">
        <v>580</v>
      </c>
      <c r="F257" s="180" t="s">
        <v>581</v>
      </c>
    </row>
    <row r="258" spans="1:6" ht="16" x14ac:dyDescent="0.2">
      <c r="A258" s="178">
        <v>257</v>
      </c>
      <c r="B258" s="179">
        <v>3</v>
      </c>
      <c r="C258" s="179" t="s">
        <v>260</v>
      </c>
      <c r="D258" s="179">
        <v>9</v>
      </c>
      <c r="E258" s="179" t="s">
        <v>582</v>
      </c>
      <c r="F258" s="180" t="s">
        <v>583</v>
      </c>
    </row>
    <row r="259" spans="1:6" ht="16" x14ac:dyDescent="0.2">
      <c r="A259" s="178">
        <v>258</v>
      </c>
      <c r="B259" s="179">
        <v>3</v>
      </c>
      <c r="C259" s="179" t="s">
        <v>261</v>
      </c>
      <c r="D259" s="179">
        <v>9</v>
      </c>
      <c r="E259" s="179" t="s">
        <v>584</v>
      </c>
      <c r="F259" s="180" t="s">
        <v>585</v>
      </c>
    </row>
    <row r="260" spans="1:6" ht="16" x14ac:dyDescent="0.2">
      <c r="A260" s="178">
        <v>259</v>
      </c>
      <c r="B260" s="179">
        <v>3</v>
      </c>
      <c r="C260" s="179" t="s">
        <v>262</v>
      </c>
      <c r="D260" s="179">
        <v>9</v>
      </c>
      <c r="E260" s="179" t="s">
        <v>586</v>
      </c>
      <c r="F260" s="180" t="s">
        <v>587</v>
      </c>
    </row>
    <row r="261" spans="1:6" ht="16" x14ac:dyDescent="0.2">
      <c r="A261" s="178">
        <v>260</v>
      </c>
      <c r="B261" s="179">
        <v>3</v>
      </c>
      <c r="C261" s="179" t="s">
        <v>263</v>
      </c>
      <c r="D261" s="179">
        <v>9</v>
      </c>
      <c r="E261" s="179" t="s">
        <v>588</v>
      </c>
      <c r="F261" s="180" t="s">
        <v>589</v>
      </c>
    </row>
    <row r="262" spans="1:6" ht="16" x14ac:dyDescent="0.2">
      <c r="A262" s="178">
        <v>261</v>
      </c>
      <c r="B262" s="179">
        <v>3</v>
      </c>
      <c r="C262" s="179" t="s">
        <v>264</v>
      </c>
      <c r="D262" s="179">
        <v>9</v>
      </c>
      <c r="E262" s="179" t="s">
        <v>590</v>
      </c>
      <c r="F262" s="180" t="s">
        <v>591</v>
      </c>
    </row>
    <row r="263" spans="1:6" ht="16" x14ac:dyDescent="0.2">
      <c r="A263" s="178">
        <v>262</v>
      </c>
      <c r="B263" s="179">
        <v>3</v>
      </c>
      <c r="C263" s="179" t="s">
        <v>265</v>
      </c>
      <c r="D263" s="179">
        <v>9</v>
      </c>
      <c r="E263" s="179" t="s">
        <v>592</v>
      </c>
      <c r="F263" s="180" t="s">
        <v>593</v>
      </c>
    </row>
    <row r="264" spans="1:6" ht="16" x14ac:dyDescent="0.2">
      <c r="A264" s="178">
        <v>263</v>
      </c>
      <c r="B264" s="179">
        <v>3</v>
      </c>
      <c r="C264" s="179" t="s">
        <v>266</v>
      </c>
      <c r="D264" s="179">
        <v>9</v>
      </c>
      <c r="E264" s="179" t="s">
        <v>594</v>
      </c>
      <c r="F264" s="180" t="s">
        <v>595</v>
      </c>
    </row>
    <row r="265" spans="1:6" ht="16" x14ac:dyDescent="0.2">
      <c r="A265" s="181">
        <v>264</v>
      </c>
      <c r="B265" s="179">
        <v>3</v>
      </c>
      <c r="C265" s="179" t="s">
        <v>267</v>
      </c>
      <c r="D265" s="179">
        <v>9</v>
      </c>
      <c r="E265" s="179" t="s">
        <v>596</v>
      </c>
      <c r="F265" s="180" t="s">
        <v>597</v>
      </c>
    </row>
    <row r="266" spans="1:6" ht="16" x14ac:dyDescent="0.2">
      <c r="A266" s="178">
        <v>265</v>
      </c>
      <c r="B266" s="179">
        <v>3</v>
      </c>
      <c r="C266" s="179" t="s">
        <v>260</v>
      </c>
      <c r="D266" s="179">
        <v>10</v>
      </c>
      <c r="E266" s="179" t="s">
        <v>598</v>
      </c>
      <c r="F266" s="180" t="s">
        <v>599</v>
      </c>
    </row>
    <row r="267" spans="1:6" ht="16" x14ac:dyDescent="0.2">
      <c r="A267" s="178">
        <v>266</v>
      </c>
      <c r="B267" s="179">
        <v>3</v>
      </c>
      <c r="C267" s="179" t="s">
        <v>261</v>
      </c>
      <c r="D267" s="179">
        <v>10</v>
      </c>
      <c r="E267" s="179" t="s">
        <v>600</v>
      </c>
      <c r="F267" s="180" t="s">
        <v>601</v>
      </c>
    </row>
    <row r="268" spans="1:6" ht="16" x14ac:dyDescent="0.2">
      <c r="A268" s="178">
        <v>267</v>
      </c>
      <c r="B268" s="179">
        <v>3</v>
      </c>
      <c r="C268" s="179" t="s">
        <v>262</v>
      </c>
      <c r="D268" s="179">
        <v>10</v>
      </c>
      <c r="E268" s="179" t="s">
        <v>602</v>
      </c>
      <c r="F268" s="180" t="s">
        <v>603</v>
      </c>
    </row>
    <row r="269" spans="1:6" ht="16" x14ac:dyDescent="0.2">
      <c r="A269" s="178">
        <v>268</v>
      </c>
      <c r="B269" s="179">
        <v>3</v>
      </c>
      <c r="C269" s="179" t="s">
        <v>263</v>
      </c>
      <c r="D269" s="179">
        <v>10</v>
      </c>
      <c r="E269" s="179" t="s">
        <v>604</v>
      </c>
      <c r="F269" s="180" t="s">
        <v>605</v>
      </c>
    </row>
    <row r="270" spans="1:6" ht="16" x14ac:dyDescent="0.2">
      <c r="A270" s="178">
        <v>269</v>
      </c>
      <c r="B270" s="179">
        <v>3</v>
      </c>
      <c r="C270" s="179" t="s">
        <v>264</v>
      </c>
      <c r="D270" s="179">
        <v>10</v>
      </c>
      <c r="E270" s="179" t="s">
        <v>606</v>
      </c>
      <c r="F270" s="180" t="s">
        <v>607</v>
      </c>
    </row>
    <row r="271" spans="1:6" ht="16" x14ac:dyDescent="0.2">
      <c r="A271" s="178">
        <v>270</v>
      </c>
      <c r="B271" s="179">
        <v>3</v>
      </c>
      <c r="C271" s="179" t="s">
        <v>265</v>
      </c>
      <c r="D271" s="179">
        <v>10</v>
      </c>
      <c r="E271" s="179" t="s">
        <v>608</v>
      </c>
      <c r="F271" s="180" t="s">
        <v>609</v>
      </c>
    </row>
    <row r="272" spans="1:6" ht="16" x14ac:dyDescent="0.2">
      <c r="A272" s="178">
        <v>271</v>
      </c>
      <c r="B272" s="179">
        <v>3</v>
      </c>
      <c r="C272" s="179" t="s">
        <v>266</v>
      </c>
      <c r="D272" s="179">
        <v>10</v>
      </c>
      <c r="E272" s="179" t="s">
        <v>610</v>
      </c>
      <c r="F272" s="180" t="s">
        <v>611</v>
      </c>
    </row>
    <row r="273" spans="1:6" ht="16" x14ac:dyDescent="0.2">
      <c r="A273" s="181">
        <v>272</v>
      </c>
      <c r="B273" s="179">
        <v>3</v>
      </c>
      <c r="C273" s="179" t="s">
        <v>267</v>
      </c>
      <c r="D273" s="179">
        <v>10</v>
      </c>
      <c r="E273" s="179" t="s">
        <v>612</v>
      </c>
      <c r="F273" s="180" t="s">
        <v>613</v>
      </c>
    </row>
    <row r="274" spans="1:6" ht="16" x14ac:dyDescent="0.2">
      <c r="A274" s="178">
        <v>273</v>
      </c>
      <c r="B274" s="179">
        <v>3</v>
      </c>
      <c r="C274" s="179" t="s">
        <v>260</v>
      </c>
      <c r="D274" s="179">
        <v>11</v>
      </c>
      <c r="E274" s="179" t="s">
        <v>614</v>
      </c>
      <c r="F274" s="180" t="s">
        <v>615</v>
      </c>
    </row>
    <row r="275" spans="1:6" ht="16" x14ac:dyDescent="0.2">
      <c r="A275" s="178">
        <v>274</v>
      </c>
      <c r="B275" s="179">
        <v>3</v>
      </c>
      <c r="C275" s="179" t="s">
        <v>261</v>
      </c>
      <c r="D275" s="179">
        <v>11</v>
      </c>
      <c r="E275" s="179" t="s">
        <v>616</v>
      </c>
      <c r="F275" s="180" t="s">
        <v>617</v>
      </c>
    </row>
    <row r="276" spans="1:6" ht="16" x14ac:dyDescent="0.2">
      <c r="A276" s="178">
        <v>275</v>
      </c>
      <c r="B276" s="179">
        <v>3</v>
      </c>
      <c r="C276" s="179" t="s">
        <v>262</v>
      </c>
      <c r="D276" s="179">
        <v>11</v>
      </c>
      <c r="E276" s="179" t="s">
        <v>618</v>
      </c>
      <c r="F276" s="180" t="s">
        <v>619</v>
      </c>
    </row>
    <row r="277" spans="1:6" ht="16" x14ac:dyDescent="0.2">
      <c r="A277" s="178">
        <v>276</v>
      </c>
      <c r="B277" s="179">
        <v>3</v>
      </c>
      <c r="C277" s="179" t="s">
        <v>263</v>
      </c>
      <c r="D277" s="179">
        <v>11</v>
      </c>
      <c r="E277" s="179" t="s">
        <v>620</v>
      </c>
      <c r="F277" s="180" t="s">
        <v>621</v>
      </c>
    </row>
    <row r="278" spans="1:6" ht="16" x14ac:dyDescent="0.2">
      <c r="A278" s="178">
        <v>277</v>
      </c>
      <c r="B278" s="179">
        <v>3</v>
      </c>
      <c r="C278" s="179" t="s">
        <v>264</v>
      </c>
      <c r="D278" s="179">
        <v>11</v>
      </c>
      <c r="E278" s="179" t="s">
        <v>622</v>
      </c>
      <c r="F278" s="180" t="s">
        <v>623</v>
      </c>
    </row>
    <row r="279" spans="1:6" ht="16" x14ac:dyDescent="0.2">
      <c r="A279" s="178">
        <v>278</v>
      </c>
      <c r="B279" s="179">
        <v>3</v>
      </c>
      <c r="C279" s="179" t="s">
        <v>265</v>
      </c>
      <c r="D279" s="179">
        <v>11</v>
      </c>
      <c r="E279" s="179" t="s">
        <v>624</v>
      </c>
      <c r="F279" s="180" t="s">
        <v>625</v>
      </c>
    </row>
    <row r="280" spans="1:6" ht="16" x14ac:dyDescent="0.2">
      <c r="A280" s="178">
        <v>279</v>
      </c>
      <c r="B280" s="179">
        <v>3</v>
      </c>
      <c r="C280" s="179" t="s">
        <v>266</v>
      </c>
      <c r="D280" s="179">
        <v>11</v>
      </c>
      <c r="E280" s="179" t="s">
        <v>626</v>
      </c>
      <c r="F280" s="180" t="s">
        <v>627</v>
      </c>
    </row>
    <row r="281" spans="1:6" ht="16" x14ac:dyDescent="0.2">
      <c r="A281" s="181">
        <v>280</v>
      </c>
      <c r="B281" s="179">
        <v>3</v>
      </c>
      <c r="C281" s="179" t="s">
        <v>267</v>
      </c>
      <c r="D281" s="179">
        <v>11</v>
      </c>
      <c r="E281" s="179" t="s">
        <v>628</v>
      </c>
      <c r="F281" s="180" t="s">
        <v>629</v>
      </c>
    </row>
    <row r="282" spans="1:6" ht="16" x14ac:dyDescent="0.2">
      <c r="A282" s="183">
        <v>281</v>
      </c>
      <c r="B282" s="179">
        <v>3</v>
      </c>
      <c r="C282" s="179" t="s">
        <v>260</v>
      </c>
      <c r="D282" s="179">
        <v>12</v>
      </c>
      <c r="E282" s="179" t="s">
        <v>630</v>
      </c>
      <c r="F282" s="180" t="s">
        <v>631</v>
      </c>
    </row>
    <row r="283" spans="1:6" ht="16" x14ac:dyDescent="0.2">
      <c r="A283" s="183">
        <v>282</v>
      </c>
      <c r="B283" s="179">
        <v>3</v>
      </c>
      <c r="C283" s="179" t="s">
        <v>261</v>
      </c>
      <c r="D283" s="179">
        <v>12</v>
      </c>
      <c r="E283" s="179" t="s">
        <v>632</v>
      </c>
      <c r="F283" s="180" t="s">
        <v>633</v>
      </c>
    </row>
    <row r="284" spans="1:6" ht="16" x14ac:dyDescent="0.2">
      <c r="A284" s="183">
        <v>283</v>
      </c>
      <c r="B284" s="179">
        <v>3</v>
      </c>
      <c r="C284" s="179" t="s">
        <v>262</v>
      </c>
      <c r="D284" s="179">
        <v>12</v>
      </c>
      <c r="E284" s="179" t="s">
        <v>634</v>
      </c>
      <c r="F284" s="180" t="s">
        <v>635</v>
      </c>
    </row>
    <row r="285" spans="1:6" ht="16" x14ac:dyDescent="0.2">
      <c r="A285" s="183">
        <v>284</v>
      </c>
      <c r="B285" s="179">
        <v>3</v>
      </c>
      <c r="C285" s="179" t="s">
        <v>263</v>
      </c>
      <c r="D285" s="179">
        <v>12</v>
      </c>
      <c r="E285" s="179" t="s">
        <v>636</v>
      </c>
      <c r="F285" s="180" t="s">
        <v>637</v>
      </c>
    </row>
    <row r="286" spans="1:6" ht="16" x14ac:dyDescent="0.2">
      <c r="A286" s="183">
        <v>285</v>
      </c>
      <c r="B286" s="179">
        <v>3</v>
      </c>
      <c r="C286" s="179" t="s">
        <v>264</v>
      </c>
      <c r="D286" s="179">
        <v>12</v>
      </c>
      <c r="E286" s="179" t="s">
        <v>638</v>
      </c>
      <c r="F286" s="180" t="s">
        <v>639</v>
      </c>
    </row>
    <row r="287" spans="1:6" ht="16" x14ac:dyDescent="0.2">
      <c r="A287" s="183">
        <v>286</v>
      </c>
      <c r="B287" s="179">
        <v>3</v>
      </c>
      <c r="C287" s="179" t="s">
        <v>265</v>
      </c>
      <c r="D287" s="179">
        <v>12</v>
      </c>
      <c r="E287" s="179" t="s">
        <v>640</v>
      </c>
      <c r="F287" s="180" t="s">
        <v>641</v>
      </c>
    </row>
    <row r="288" spans="1:6" ht="16" x14ac:dyDescent="0.2">
      <c r="A288" s="183">
        <v>287</v>
      </c>
      <c r="B288" s="179">
        <v>3</v>
      </c>
      <c r="C288" s="179" t="s">
        <v>266</v>
      </c>
      <c r="D288" s="179">
        <v>12</v>
      </c>
      <c r="E288" s="179" t="s">
        <v>642</v>
      </c>
      <c r="F288" s="180" t="s">
        <v>643</v>
      </c>
    </row>
    <row r="289" spans="1:6" ht="16" x14ac:dyDescent="0.2">
      <c r="A289" s="184">
        <v>288</v>
      </c>
      <c r="B289" s="179">
        <v>3</v>
      </c>
      <c r="C289" s="179" t="s">
        <v>267</v>
      </c>
      <c r="D289" s="179">
        <v>12</v>
      </c>
      <c r="E289" s="179" t="s">
        <v>644</v>
      </c>
      <c r="F289" s="180" t="s">
        <v>645</v>
      </c>
    </row>
    <row r="290" spans="1:6" x14ac:dyDescent="0.15">
      <c r="F290" s="180"/>
    </row>
    <row r="291" spans="1:6" x14ac:dyDescent="0.15">
      <c r="F291" s="180"/>
    </row>
    <row r="292" spans="1:6" x14ac:dyDescent="0.15">
      <c r="E292" s="180"/>
    </row>
    <row r="293" spans="1:6" x14ac:dyDescent="0.15">
      <c r="E293" s="180"/>
    </row>
    <row r="294" spans="1:6" x14ac:dyDescent="0.15">
      <c r="E294" s="180"/>
    </row>
    <row r="295" spans="1:6" x14ac:dyDescent="0.15">
      <c r="E295" s="180"/>
    </row>
    <row r="296" spans="1:6" x14ac:dyDescent="0.15">
      <c r="E296" s="180"/>
    </row>
    <row r="297" spans="1:6" x14ac:dyDescent="0.15">
      <c r="E297" s="180"/>
    </row>
    <row r="298" spans="1:6" x14ac:dyDescent="0.15">
      <c r="E298" s="180"/>
    </row>
    <row r="299" spans="1:6" x14ac:dyDescent="0.15">
      <c r="E299" s="180"/>
    </row>
    <row r="300" spans="1:6" x14ac:dyDescent="0.15">
      <c r="E300" s="180"/>
    </row>
    <row r="301" spans="1:6" x14ac:dyDescent="0.15">
      <c r="E301" s="180"/>
    </row>
    <row r="302" spans="1:6" x14ac:dyDescent="0.15">
      <c r="E302" s="180"/>
    </row>
    <row r="303" spans="1:6" x14ac:dyDescent="0.15">
      <c r="E303" s="180"/>
    </row>
    <row r="304" spans="1:6" x14ac:dyDescent="0.15">
      <c r="E304" s="180"/>
    </row>
    <row r="305" spans="5:5" x14ac:dyDescent="0.15">
      <c r="E305" s="180"/>
    </row>
    <row r="306" spans="5:5" x14ac:dyDescent="0.15">
      <c r="E306" s="180"/>
    </row>
    <row r="307" spans="5:5" x14ac:dyDescent="0.15">
      <c r="E307" s="180"/>
    </row>
    <row r="308" spans="5:5" x14ac:dyDescent="0.15">
      <c r="E308" s="180"/>
    </row>
    <row r="309" spans="5:5" x14ac:dyDescent="0.15">
      <c r="E309" s="180"/>
    </row>
    <row r="310" spans="5:5" x14ac:dyDescent="0.15">
      <c r="E310" s="180"/>
    </row>
    <row r="311" spans="5:5" x14ac:dyDescent="0.15">
      <c r="E311" s="180"/>
    </row>
    <row r="312" spans="5:5" x14ac:dyDescent="0.15">
      <c r="E312" s="180"/>
    </row>
    <row r="313" spans="5:5" x14ac:dyDescent="0.15">
      <c r="E313" s="180"/>
    </row>
    <row r="314" spans="5:5" x14ac:dyDescent="0.15">
      <c r="E314" s="180"/>
    </row>
    <row r="315" spans="5:5" x14ac:dyDescent="0.15">
      <c r="E315" s="180"/>
    </row>
    <row r="316" spans="5:5" x14ac:dyDescent="0.15">
      <c r="E316" s="180"/>
    </row>
    <row r="317" spans="5:5" x14ac:dyDescent="0.15">
      <c r="E317" s="180"/>
    </row>
    <row r="318" spans="5:5" x14ac:dyDescent="0.15">
      <c r="E318" s="180"/>
    </row>
    <row r="319" spans="5:5" x14ac:dyDescent="0.15">
      <c r="E319" s="180"/>
    </row>
    <row r="320" spans="5:5" x14ac:dyDescent="0.15">
      <c r="E320" s="180"/>
    </row>
    <row r="321" spans="5:5" x14ac:dyDescent="0.15">
      <c r="E321" s="180"/>
    </row>
    <row r="322" spans="5:5" x14ac:dyDescent="0.15">
      <c r="E322" s="180"/>
    </row>
    <row r="323" spans="5:5" x14ac:dyDescent="0.15">
      <c r="E323" s="180"/>
    </row>
    <row r="324" spans="5:5" x14ac:dyDescent="0.15">
      <c r="E324" s="180"/>
    </row>
    <row r="325" spans="5:5" x14ac:dyDescent="0.15">
      <c r="E325" s="180"/>
    </row>
    <row r="326" spans="5:5" x14ac:dyDescent="0.15">
      <c r="E326" s="180"/>
    </row>
    <row r="327" spans="5:5" x14ac:dyDescent="0.15">
      <c r="E327" s="180"/>
    </row>
    <row r="328" spans="5:5" x14ac:dyDescent="0.15">
      <c r="E328" s="180"/>
    </row>
    <row r="329" spans="5:5" x14ac:dyDescent="0.15">
      <c r="E329" s="180"/>
    </row>
    <row r="330" spans="5:5" x14ac:dyDescent="0.15">
      <c r="E330" s="180"/>
    </row>
    <row r="331" spans="5:5" x14ac:dyDescent="0.15">
      <c r="E331" s="180"/>
    </row>
    <row r="332" spans="5:5" x14ac:dyDescent="0.15">
      <c r="E332" s="180"/>
    </row>
    <row r="333" spans="5:5" x14ac:dyDescent="0.15">
      <c r="E333" s="180"/>
    </row>
    <row r="334" spans="5:5" x14ac:dyDescent="0.15">
      <c r="E334" s="180"/>
    </row>
    <row r="335" spans="5:5" x14ac:dyDescent="0.15">
      <c r="E335" s="180"/>
    </row>
    <row r="336" spans="5:5" x14ac:dyDescent="0.15">
      <c r="E336" s="180"/>
    </row>
    <row r="337" spans="5:5" x14ac:dyDescent="0.15">
      <c r="E337" s="180"/>
    </row>
    <row r="338" spans="5:5" x14ac:dyDescent="0.15">
      <c r="E338" s="180"/>
    </row>
    <row r="339" spans="5:5" x14ac:dyDescent="0.15">
      <c r="E339" s="180"/>
    </row>
    <row r="340" spans="5:5" x14ac:dyDescent="0.15">
      <c r="E340" s="180"/>
    </row>
    <row r="341" spans="5:5" x14ac:dyDescent="0.15">
      <c r="E341" s="180"/>
    </row>
    <row r="342" spans="5:5" x14ac:dyDescent="0.15">
      <c r="E342" s="180"/>
    </row>
    <row r="343" spans="5:5" x14ac:dyDescent="0.15">
      <c r="E343" s="180"/>
    </row>
    <row r="344" spans="5:5" x14ac:dyDescent="0.15">
      <c r="E344" s="180"/>
    </row>
    <row r="345" spans="5:5" x14ac:dyDescent="0.15">
      <c r="E345" s="180"/>
    </row>
    <row r="346" spans="5:5" x14ac:dyDescent="0.15">
      <c r="E346" s="180"/>
    </row>
    <row r="347" spans="5:5" x14ac:dyDescent="0.15">
      <c r="E347" s="180"/>
    </row>
    <row r="348" spans="5:5" x14ac:dyDescent="0.15">
      <c r="E348" s="180"/>
    </row>
    <row r="349" spans="5:5" x14ac:dyDescent="0.15">
      <c r="E349" s="180"/>
    </row>
    <row r="350" spans="5:5" x14ac:dyDescent="0.15">
      <c r="E350" s="180"/>
    </row>
    <row r="351" spans="5:5" x14ac:dyDescent="0.15">
      <c r="E351" s="180"/>
    </row>
    <row r="352" spans="5:5" x14ac:dyDescent="0.15">
      <c r="E352" s="180"/>
    </row>
    <row r="353" spans="5:5" x14ac:dyDescent="0.15">
      <c r="E353" s="180"/>
    </row>
    <row r="354" spans="5:5" x14ac:dyDescent="0.15">
      <c r="E354" s="180"/>
    </row>
    <row r="355" spans="5:5" x14ac:dyDescent="0.15">
      <c r="E355" s="180"/>
    </row>
    <row r="356" spans="5:5" x14ac:dyDescent="0.15">
      <c r="E356" s="180"/>
    </row>
    <row r="357" spans="5:5" x14ac:dyDescent="0.15">
      <c r="E357" s="180"/>
    </row>
    <row r="358" spans="5:5" x14ac:dyDescent="0.15">
      <c r="E358" s="180"/>
    </row>
    <row r="359" spans="5:5" x14ac:dyDescent="0.15">
      <c r="E359" s="180"/>
    </row>
    <row r="360" spans="5:5" x14ac:dyDescent="0.15">
      <c r="E360" s="180"/>
    </row>
    <row r="361" spans="5:5" x14ac:dyDescent="0.15">
      <c r="E361" s="180"/>
    </row>
    <row r="362" spans="5:5" x14ac:dyDescent="0.15">
      <c r="E362" s="180"/>
    </row>
    <row r="363" spans="5:5" x14ac:dyDescent="0.15">
      <c r="E363" s="180"/>
    </row>
    <row r="364" spans="5:5" x14ac:dyDescent="0.15">
      <c r="E364" s="180"/>
    </row>
    <row r="365" spans="5:5" x14ac:dyDescent="0.15">
      <c r="E365" s="180"/>
    </row>
    <row r="366" spans="5:5" x14ac:dyDescent="0.15">
      <c r="E366" s="180"/>
    </row>
    <row r="367" spans="5:5" x14ac:dyDescent="0.15">
      <c r="E367" s="180"/>
    </row>
    <row r="368" spans="5:5" x14ac:dyDescent="0.15">
      <c r="E368" s="180"/>
    </row>
    <row r="369" spans="5:5" x14ac:dyDescent="0.15">
      <c r="E369" s="180"/>
    </row>
    <row r="370" spans="5:5" x14ac:dyDescent="0.15">
      <c r="E370" s="180"/>
    </row>
    <row r="371" spans="5:5" x14ac:dyDescent="0.15">
      <c r="E371" s="180"/>
    </row>
    <row r="372" spans="5:5" x14ac:dyDescent="0.15">
      <c r="E372" s="180"/>
    </row>
    <row r="373" spans="5:5" x14ac:dyDescent="0.15">
      <c r="E373" s="180"/>
    </row>
    <row r="374" spans="5:5" x14ac:dyDescent="0.15">
      <c r="E374" s="180"/>
    </row>
    <row r="375" spans="5:5" x14ac:dyDescent="0.15">
      <c r="E375" s="180"/>
    </row>
    <row r="376" spans="5:5" x14ac:dyDescent="0.15">
      <c r="E376" s="180"/>
    </row>
    <row r="377" spans="5:5" x14ac:dyDescent="0.15">
      <c r="E377" s="180"/>
    </row>
    <row r="378" spans="5:5" x14ac:dyDescent="0.15">
      <c r="E378" s="180"/>
    </row>
    <row r="379" spans="5:5" x14ac:dyDescent="0.15">
      <c r="E379" s="180"/>
    </row>
    <row r="380" spans="5:5" x14ac:dyDescent="0.15">
      <c r="E380" s="180"/>
    </row>
    <row r="381" spans="5:5" x14ac:dyDescent="0.15">
      <c r="E381" s="180"/>
    </row>
    <row r="382" spans="5:5" x14ac:dyDescent="0.15">
      <c r="E382" s="180"/>
    </row>
    <row r="383" spans="5:5" x14ac:dyDescent="0.15">
      <c r="E383" s="180"/>
    </row>
    <row r="384" spans="5:5" x14ac:dyDescent="0.15">
      <c r="E384" s="180"/>
    </row>
    <row r="385" spans="5:5" x14ac:dyDescent="0.15">
      <c r="E385" s="180"/>
    </row>
    <row r="386" spans="5:5" x14ac:dyDescent="0.15">
      <c r="E386" s="180"/>
    </row>
    <row r="387" spans="5:5" x14ac:dyDescent="0.15">
      <c r="E387" s="180"/>
    </row>
    <row r="388" spans="5:5" x14ac:dyDescent="0.15">
      <c r="E388" s="180"/>
    </row>
    <row r="389" spans="5:5" x14ac:dyDescent="0.15">
      <c r="E389" s="180"/>
    </row>
    <row r="390" spans="5:5" x14ac:dyDescent="0.15">
      <c r="E390" s="180"/>
    </row>
    <row r="391" spans="5:5" x14ac:dyDescent="0.15">
      <c r="E391" s="180"/>
    </row>
    <row r="392" spans="5:5" x14ac:dyDescent="0.15">
      <c r="E392" s="180"/>
    </row>
    <row r="393" spans="5:5" x14ac:dyDescent="0.15">
      <c r="E393" s="180"/>
    </row>
    <row r="394" spans="5:5" x14ac:dyDescent="0.15">
      <c r="E394" s="180"/>
    </row>
    <row r="395" spans="5:5" x14ac:dyDescent="0.15">
      <c r="E395" s="180"/>
    </row>
    <row r="396" spans="5:5" x14ac:dyDescent="0.15">
      <c r="E396" s="180"/>
    </row>
    <row r="397" spans="5:5" x14ac:dyDescent="0.15">
      <c r="E397" s="180"/>
    </row>
    <row r="398" spans="5:5" x14ac:dyDescent="0.15">
      <c r="E398" s="180"/>
    </row>
    <row r="399" spans="5:5" x14ac:dyDescent="0.15">
      <c r="E399" s="180"/>
    </row>
    <row r="400" spans="5:5" x14ac:dyDescent="0.15">
      <c r="E400" s="180"/>
    </row>
    <row r="401" spans="5:5" x14ac:dyDescent="0.15">
      <c r="E401" s="180"/>
    </row>
    <row r="402" spans="5:5" x14ac:dyDescent="0.15">
      <c r="E402" s="180"/>
    </row>
    <row r="403" spans="5:5" x14ac:dyDescent="0.15">
      <c r="E403" s="180"/>
    </row>
    <row r="404" spans="5:5" x14ac:dyDescent="0.15">
      <c r="E404" s="180"/>
    </row>
    <row r="405" spans="5:5" x14ac:dyDescent="0.15">
      <c r="E405" s="180"/>
    </row>
    <row r="406" spans="5:5" x14ac:dyDescent="0.15">
      <c r="E406" s="180"/>
    </row>
    <row r="407" spans="5:5" x14ac:dyDescent="0.15">
      <c r="E407" s="180"/>
    </row>
    <row r="408" spans="5:5" x14ac:dyDescent="0.15">
      <c r="E408" s="180"/>
    </row>
    <row r="409" spans="5:5" x14ac:dyDescent="0.15">
      <c r="E409" s="180"/>
    </row>
    <row r="410" spans="5:5" x14ac:dyDescent="0.15">
      <c r="E410" s="180"/>
    </row>
    <row r="411" spans="5:5" x14ac:dyDescent="0.15">
      <c r="E411" s="180"/>
    </row>
    <row r="412" spans="5:5" x14ac:dyDescent="0.15">
      <c r="E412" s="180"/>
    </row>
    <row r="413" spans="5:5" x14ac:dyDescent="0.15">
      <c r="E413" s="180"/>
    </row>
    <row r="414" spans="5:5" x14ac:dyDescent="0.15">
      <c r="E414" s="180"/>
    </row>
    <row r="415" spans="5:5" x14ac:dyDescent="0.15">
      <c r="E415" s="180"/>
    </row>
    <row r="416" spans="5:5" x14ac:dyDescent="0.15">
      <c r="E416" s="180"/>
    </row>
    <row r="417" spans="5:5" x14ac:dyDescent="0.15">
      <c r="E417" s="180"/>
    </row>
    <row r="418" spans="5:5" x14ac:dyDescent="0.15">
      <c r="E418" s="180"/>
    </row>
    <row r="419" spans="5:5" x14ac:dyDescent="0.15">
      <c r="E419" s="180"/>
    </row>
    <row r="420" spans="5:5" x14ac:dyDescent="0.15">
      <c r="E420" s="180"/>
    </row>
    <row r="421" spans="5:5" x14ac:dyDescent="0.15">
      <c r="E421" s="180"/>
    </row>
    <row r="422" spans="5:5" x14ac:dyDescent="0.15">
      <c r="E422" s="180"/>
    </row>
    <row r="423" spans="5:5" x14ac:dyDescent="0.15">
      <c r="E423" s="180"/>
    </row>
    <row r="424" spans="5:5" x14ac:dyDescent="0.15">
      <c r="E424" s="180"/>
    </row>
    <row r="425" spans="5:5" x14ac:dyDescent="0.15">
      <c r="E425" s="180"/>
    </row>
    <row r="426" spans="5:5" x14ac:dyDescent="0.15">
      <c r="E426" s="180"/>
    </row>
    <row r="427" spans="5:5" x14ac:dyDescent="0.15">
      <c r="E427" s="180"/>
    </row>
    <row r="428" spans="5:5" x14ac:dyDescent="0.15">
      <c r="E428" s="180"/>
    </row>
    <row r="429" spans="5:5" x14ac:dyDescent="0.15">
      <c r="E429" s="180"/>
    </row>
    <row r="430" spans="5:5" x14ac:dyDescent="0.15">
      <c r="E430" s="180"/>
    </row>
    <row r="431" spans="5:5" x14ac:dyDescent="0.15">
      <c r="E431" s="180"/>
    </row>
    <row r="432" spans="5:5" x14ac:dyDescent="0.15">
      <c r="E432" s="180"/>
    </row>
    <row r="433" spans="5:5" x14ac:dyDescent="0.15">
      <c r="E433" s="180"/>
    </row>
    <row r="434" spans="5:5" x14ac:dyDescent="0.15">
      <c r="E434" s="180"/>
    </row>
    <row r="435" spans="5:5" x14ac:dyDescent="0.15">
      <c r="E435" s="180"/>
    </row>
    <row r="436" spans="5:5" x14ac:dyDescent="0.15">
      <c r="E436" s="180"/>
    </row>
    <row r="437" spans="5:5" x14ac:dyDescent="0.15">
      <c r="E437" s="180"/>
    </row>
    <row r="438" spans="5:5" x14ac:dyDescent="0.15">
      <c r="E438" s="180"/>
    </row>
    <row r="439" spans="5:5" x14ac:dyDescent="0.15">
      <c r="E439" s="180"/>
    </row>
    <row r="440" spans="5:5" x14ac:dyDescent="0.15">
      <c r="E440" s="180"/>
    </row>
    <row r="441" spans="5:5" x14ac:dyDescent="0.15">
      <c r="E441" s="180"/>
    </row>
    <row r="442" spans="5:5" x14ac:dyDescent="0.15">
      <c r="E442" s="180"/>
    </row>
    <row r="443" spans="5:5" x14ac:dyDescent="0.15">
      <c r="E443" s="180"/>
    </row>
    <row r="444" spans="5:5" x14ac:dyDescent="0.15">
      <c r="E444" s="180"/>
    </row>
    <row r="445" spans="5:5" x14ac:dyDescent="0.15">
      <c r="E445" s="180"/>
    </row>
    <row r="446" spans="5:5" x14ac:dyDescent="0.15">
      <c r="E446" s="180"/>
    </row>
    <row r="447" spans="5:5" x14ac:dyDescent="0.15">
      <c r="E447" s="180"/>
    </row>
    <row r="448" spans="5:5" x14ac:dyDescent="0.15">
      <c r="E448" s="180"/>
    </row>
    <row r="449" spans="5:5" x14ac:dyDescent="0.15">
      <c r="E449" s="180"/>
    </row>
    <row r="450" spans="5:5" x14ac:dyDescent="0.15">
      <c r="E450" s="180"/>
    </row>
    <row r="451" spans="5:5" x14ac:dyDescent="0.15">
      <c r="E451" s="180"/>
    </row>
    <row r="452" spans="5:5" x14ac:dyDescent="0.15">
      <c r="E452" s="180"/>
    </row>
    <row r="453" spans="5:5" x14ac:dyDescent="0.15">
      <c r="E453" s="180"/>
    </row>
    <row r="454" spans="5:5" x14ac:dyDescent="0.15">
      <c r="E454" s="180"/>
    </row>
    <row r="455" spans="5:5" x14ac:dyDescent="0.15">
      <c r="E455" s="180"/>
    </row>
    <row r="456" spans="5:5" x14ac:dyDescent="0.15">
      <c r="E456" s="180"/>
    </row>
    <row r="457" spans="5:5" x14ac:dyDescent="0.15">
      <c r="E457" s="180"/>
    </row>
    <row r="458" spans="5:5" x14ac:dyDescent="0.15">
      <c r="E458" s="180"/>
    </row>
    <row r="459" spans="5:5" x14ac:dyDescent="0.15">
      <c r="E459" s="180"/>
    </row>
    <row r="460" spans="5:5" x14ac:dyDescent="0.15">
      <c r="E460" s="180"/>
    </row>
    <row r="461" spans="5:5" x14ac:dyDescent="0.15">
      <c r="E461" s="180"/>
    </row>
    <row r="462" spans="5:5" x14ac:dyDescent="0.15">
      <c r="E462" s="180"/>
    </row>
    <row r="463" spans="5:5" x14ac:dyDescent="0.15">
      <c r="E463" s="180"/>
    </row>
    <row r="464" spans="5:5" x14ac:dyDescent="0.15">
      <c r="E464" s="180"/>
    </row>
    <row r="465" spans="5:5" x14ac:dyDescent="0.15">
      <c r="E465" s="180"/>
    </row>
    <row r="466" spans="5:5" x14ac:dyDescent="0.15">
      <c r="E466" s="180"/>
    </row>
    <row r="467" spans="5:5" x14ac:dyDescent="0.15">
      <c r="E467" s="180"/>
    </row>
    <row r="468" spans="5:5" x14ac:dyDescent="0.15">
      <c r="E468" s="180"/>
    </row>
    <row r="469" spans="5:5" x14ac:dyDescent="0.15">
      <c r="E469" s="180"/>
    </row>
    <row r="470" spans="5:5" x14ac:dyDescent="0.15">
      <c r="E470" s="180"/>
    </row>
    <row r="471" spans="5:5" x14ac:dyDescent="0.15">
      <c r="E471" s="180"/>
    </row>
    <row r="472" spans="5:5" x14ac:dyDescent="0.15">
      <c r="E472" s="180"/>
    </row>
    <row r="473" spans="5:5" x14ac:dyDescent="0.15">
      <c r="E473" s="180"/>
    </row>
    <row r="474" spans="5:5" x14ac:dyDescent="0.15">
      <c r="E474" s="180"/>
    </row>
    <row r="475" spans="5:5" x14ac:dyDescent="0.15">
      <c r="E475" s="180"/>
    </row>
    <row r="476" spans="5:5" x14ac:dyDescent="0.15">
      <c r="E476" s="180"/>
    </row>
    <row r="477" spans="5:5" x14ac:dyDescent="0.15">
      <c r="E477" s="180"/>
    </row>
    <row r="478" spans="5:5" x14ac:dyDescent="0.15">
      <c r="E478" s="180"/>
    </row>
    <row r="479" spans="5:5" x14ac:dyDescent="0.15">
      <c r="E479" s="180"/>
    </row>
    <row r="480" spans="5:5" x14ac:dyDescent="0.15">
      <c r="E480" s="180"/>
    </row>
    <row r="481" spans="5:5" x14ac:dyDescent="0.15">
      <c r="E481" s="180"/>
    </row>
    <row r="482" spans="5:5" x14ac:dyDescent="0.15">
      <c r="E482" s="180"/>
    </row>
    <row r="483" spans="5:5" x14ac:dyDescent="0.15">
      <c r="E483" s="180"/>
    </row>
    <row r="484" spans="5:5" x14ac:dyDescent="0.15">
      <c r="E484" s="180"/>
    </row>
    <row r="485" spans="5:5" x14ac:dyDescent="0.15">
      <c r="E485" s="180"/>
    </row>
    <row r="486" spans="5:5" x14ac:dyDescent="0.15">
      <c r="E486" s="180"/>
    </row>
    <row r="487" spans="5:5" x14ac:dyDescent="0.15">
      <c r="E487" s="180"/>
    </row>
    <row r="488" spans="5:5" x14ac:dyDescent="0.15">
      <c r="E488" s="180"/>
    </row>
    <row r="489" spans="5:5" x14ac:dyDescent="0.15">
      <c r="E489" s="180"/>
    </row>
    <row r="490" spans="5:5" x14ac:dyDescent="0.15">
      <c r="E490" s="180"/>
    </row>
    <row r="491" spans="5:5" x14ac:dyDescent="0.15">
      <c r="E491" s="180"/>
    </row>
    <row r="492" spans="5:5" x14ac:dyDescent="0.15">
      <c r="E492" s="180"/>
    </row>
    <row r="493" spans="5:5" x14ac:dyDescent="0.15">
      <c r="E493" s="180"/>
    </row>
    <row r="494" spans="5:5" x14ac:dyDescent="0.15">
      <c r="E494" s="180"/>
    </row>
    <row r="495" spans="5:5" x14ac:dyDescent="0.15">
      <c r="E495" s="180"/>
    </row>
    <row r="496" spans="5:5" x14ac:dyDescent="0.15">
      <c r="E496" s="180"/>
    </row>
    <row r="497" spans="5:5" x14ac:dyDescent="0.15">
      <c r="E497" s="180"/>
    </row>
    <row r="498" spans="5:5" x14ac:dyDescent="0.15">
      <c r="E498" s="180"/>
    </row>
    <row r="499" spans="5:5" x14ac:dyDescent="0.15">
      <c r="E499" s="180"/>
    </row>
    <row r="500" spans="5:5" x14ac:dyDescent="0.15">
      <c r="E500" s="180"/>
    </row>
    <row r="501" spans="5:5" x14ac:dyDescent="0.15">
      <c r="E501" s="180"/>
    </row>
    <row r="502" spans="5:5" x14ac:dyDescent="0.15">
      <c r="E502" s="180"/>
    </row>
    <row r="503" spans="5:5" x14ac:dyDescent="0.15">
      <c r="E503" s="180"/>
    </row>
    <row r="504" spans="5:5" x14ac:dyDescent="0.15">
      <c r="E504" s="180"/>
    </row>
    <row r="505" spans="5:5" x14ac:dyDescent="0.15">
      <c r="E505" s="180"/>
    </row>
    <row r="506" spans="5:5" x14ac:dyDescent="0.15">
      <c r="E506" s="180"/>
    </row>
    <row r="507" spans="5:5" x14ac:dyDescent="0.15">
      <c r="E507" s="180"/>
    </row>
    <row r="508" spans="5:5" x14ac:dyDescent="0.15">
      <c r="E508" s="180"/>
    </row>
    <row r="509" spans="5:5" x14ac:dyDescent="0.15">
      <c r="E509" s="180"/>
    </row>
    <row r="510" spans="5:5" x14ac:dyDescent="0.15">
      <c r="E510" s="180"/>
    </row>
    <row r="511" spans="5:5" x14ac:dyDescent="0.15">
      <c r="E511" s="180"/>
    </row>
    <row r="512" spans="5:5" x14ac:dyDescent="0.15">
      <c r="E512" s="180"/>
    </row>
    <row r="513" spans="5:5" x14ac:dyDescent="0.15">
      <c r="E513" s="180"/>
    </row>
    <row r="514" spans="5:5" x14ac:dyDescent="0.15">
      <c r="E514" s="180"/>
    </row>
    <row r="515" spans="5:5" x14ac:dyDescent="0.15">
      <c r="E515" s="180"/>
    </row>
    <row r="516" spans="5:5" x14ac:dyDescent="0.15">
      <c r="E516" s="180"/>
    </row>
    <row r="517" spans="5:5" x14ac:dyDescent="0.15">
      <c r="E517" s="180"/>
    </row>
    <row r="518" spans="5:5" x14ac:dyDescent="0.15">
      <c r="E518" s="180"/>
    </row>
    <row r="519" spans="5:5" x14ac:dyDescent="0.15">
      <c r="E519" s="180"/>
    </row>
    <row r="520" spans="5:5" x14ac:dyDescent="0.15">
      <c r="E520" s="180"/>
    </row>
    <row r="521" spans="5:5" x14ac:dyDescent="0.15">
      <c r="E521" s="180"/>
    </row>
    <row r="522" spans="5:5" x14ac:dyDescent="0.15">
      <c r="E522" s="180"/>
    </row>
    <row r="523" spans="5:5" x14ac:dyDescent="0.15">
      <c r="E523" s="180"/>
    </row>
    <row r="524" spans="5:5" x14ac:dyDescent="0.15">
      <c r="E524" s="180"/>
    </row>
    <row r="525" spans="5:5" x14ac:dyDescent="0.15">
      <c r="E525" s="180"/>
    </row>
    <row r="526" spans="5:5" x14ac:dyDescent="0.15">
      <c r="E526" s="180"/>
    </row>
    <row r="527" spans="5:5" x14ac:dyDescent="0.15">
      <c r="E527" s="180"/>
    </row>
    <row r="528" spans="5:5" x14ac:dyDescent="0.15">
      <c r="E528" s="180"/>
    </row>
    <row r="529" spans="5:5" x14ac:dyDescent="0.15">
      <c r="E529" s="180"/>
    </row>
    <row r="530" spans="5:5" x14ac:dyDescent="0.15">
      <c r="E530" s="180"/>
    </row>
    <row r="531" spans="5:5" x14ac:dyDescent="0.15">
      <c r="E531" s="180"/>
    </row>
    <row r="532" spans="5:5" x14ac:dyDescent="0.15">
      <c r="E532" s="180"/>
    </row>
    <row r="533" spans="5:5" x14ac:dyDescent="0.15">
      <c r="E533" s="180"/>
    </row>
    <row r="534" spans="5:5" x14ac:dyDescent="0.15">
      <c r="E534" s="180"/>
    </row>
    <row r="535" spans="5:5" x14ac:dyDescent="0.15">
      <c r="E535" s="180"/>
    </row>
    <row r="536" spans="5:5" x14ac:dyDescent="0.15">
      <c r="E536" s="180"/>
    </row>
    <row r="537" spans="5:5" x14ac:dyDescent="0.15">
      <c r="E537" s="180"/>
    </row>
    <row r="538" spans="5:5" x14ac:dyDescent="0.15">
      <c r="E538" s="180"/>
    </row>
    <row r="539" spans="5:5" x14ac:dyDescent="0.15">
      <c r="E539" s="180"/>
    </row>
    <row r="540" spans="5:5" x14ac:dyDescent="0.15">
      <c r="E540" s="180"/>
    </row>
    <row r="541" spans="5:5" x14ac:dyDescent="0.15">
      <c r="E541" s="180"/>
    </row>
    <row r="542" spans="5:5" x14ac:dyDescent="0.15">
      <c r="E542" s="180"/>
    </row>
    <row r="543" spans="5:5" x14ac:dyDescent="0.15">
      <c r="E543" s="180"/>
    </row>
    <row r="544" spans="5:5" x14ac:dyDescent="0.15">
      <c r="E544" s="180"/>
    </row>
    <row r="545" spans="5:5" x14ac:dyDescent="0.15">
      <c r="E545" s="180"/>
    </row>
    <row r="546" spans="5:5" x14ac:dyDescent="0.15">
      <c r="E546" s="180"/>
    </row>
    <row r="547" spans="5:5" x14ac:dyDescent="0.15">
      <c r="E547" s="180"/>
    </row>
    <row r="548" spans="5:5" x14ac:dyDescent="0.15">
      <c r="E548" s="180"/>
    </row>
    <row r="549" spans="5:5" x14ac:dyDescent="0.15">
      <c r="E549" s="180"/>
    </row>
    <row r="550" spans="5:5" x14ac:dyDescent="0.15">
      <c r="E550" s="180"/>
    </row>
    <row r="551" spans="5:5" x14ac:dyDescent="0.15">
      <c r="E551" s="180"/>
    </row>
    <row r="552" spans="5:5" x14ac:dyDescent="0.15">
      <c r="E552" s="180"/>
    </row>
    <row r="553" spans="5:5" x14ac:dyDescent="0.15">
      <c r="E553" s="180"/>
    </row>
    <row r="554" spans="5:5" x14ac:dyDescent="0.15">
      <c r="E554" s="180"/>
    </row>
    <row r="555" spans="5:5" x14ac:dyDescent="0.15">
      <c r="E555" s="180"/>
    </row>
    <row r="556" spans="5:5" x14ac:dyDescent="0.15">
      <c r="E556" s="180"/>
    </row>
    <row r="557" spans="5:5" x14ac:dyDescent="0.15">
      <c r="E557" s="180"/>
    </row>
    <row r="558" spans="5:5" x14ac:dyDescent="0.15">
      <c r="E558" s="180"/>
    </row>
    <row r="559" spans="5:5" x14ac:dyDescent="0.15">
      <c r="E559" s="180"/>
    </row>
    <row r="560" spans="5:5" x14ac:dyDescent="0.15">
      <c r="E560" s="180"/>
    </row>
    <row r="561" spans="5:5" x14ac:dyDescent="0.15">
      <c r="E561" s="180"/>
    </row>
    <row r="562" spans="5:5" x14ac:dyDescent="0.15">
      <c r="E562" s="180"/>
    </row>
    <row r="563" spans="5:5" x14ac:dyDescent="0.15">
      <c r="E563" s="180"/>
    </row>
    <row r="564" spans="5:5" x14ac:dyDescent="0.15">
      <c r="E564" s="180"/>
    </row>
    <row r="565" spans="5:5" x14ac:dyDescent="0.15">
      <c r="E565" s="180"/>
    </row>
    <row r="566" spans="5:5" x14ac:dyDescent="0.15">
      <c r="E566" s="180"/>
    </row>
    <row r="567" spans="5:5" x14ac:dyDescent="0.15">
      <c r="E567" s="180"/>
    </row>
    <row r="568" spans="5:5" x14ac:dyDescent="0.15">
      <c r="E568" s="180"/>
    </row>
    <row r="569" spans="5:5" x14ac:dyDescent="0.15">
      <c r="E569" s="180"/>
    </row>
    <row r="570" spans="5:5" x14ac:dyDescent="0.15">
      <c r="E570" s="180"/>
    </row>
    <row r="571" spans="5:5" x14ac:dyDescent="0.15">
      <c r="E571" s="180"/>
    </row>
    <row r="572" spans="5:5" x14ac:dyDescent="0.15">
      <c r="E572" s="180"/>
    </row>
    <row r="573" spans="5:5" x14ac:dyDescent="0.15">
      <c r="E573" s="180"/>
    </row>
    <row r="574" spans="5:5" x14ac:dyDescent="0.15">
      <c r="E574" s="180"/>
    </row>
    <row r="575" spans="5:5" x14ac:dyDescent="0.15">
      <c r="E575" s="180"/>
    </row>
    <row r="576" spans="5:5" x14ac:dyDescent="0.15">
      <c r="E576" s="180"/>
    </row>
    <row r="577" spans="5:5" x14ac:dyDescent="0.15">
      <c r="E577" s="180"/>
    </row>
    <row r="578" spans="5:5" x14ac:dyDescent="0.15">
      <c r="E578" s="180"/>
    </row>
    <row r="579" spans="5:5" x14ac:dyDescent="0.15">
      <c r="E579" s="180"/>
    </row>
    <row r="580" spans="5:5" x14ac:dyDescent="0.15">
      <c r="E580" s="180"/>
    </row>
    <row r="581" spans="5:5" x14ac:dyDescent="0.15">
      <c r="E581" s="180"/>
    </row>
    <row r="582" spans="5:5" x14ac:dyDescent="0.15">
      <c r="E582" s="180"/>
    </row>
    <row r="583" spans="5:5" x14ac:dyDescent="0.15">
      <c r="E583" s="180"/>
    </row>
    <row r="584" spans="5:5" x14ac:dyDescent="0.15">
      <c r="E584" s="180"/>
    </row>
    <row r="585" spans="5:5" x14ac:dyDescent="0.15">
      <c r="E585" s="180"/>
    </row>
    <row r="586" spans="5:5" x14ac:dyDescent="0.15">
      <c r="E586" s="180"/>
    </row>
    <row r="587" spans="5:5" x14ac:dyDescent="0.15">
      <c r="E587" s="180"/>
    </row>
    <row r="588" spans="5:5" x14ac:dyDescent="0.15">
      <c r="E588" s="180"/>
    </row>
    <row r="589" spans="5:5" x14ac:dyDescent="0.15">
      <c r="E589" s="180"/>
    </row>
    <row r="590" spans="5:5" x14ac:dyDescent="0.15">
      <c r="E590" s="180"/>
    </row>
    <row r="591" spans="5:5" x14ac:dyDescent="0.15">
      <c r="E591" s="180"/>
    </row>
    <row r="592" spans="5:5" x14ac:dyDescent="0.15">
      <c r="E592" s="180"/>
    </row>
    <row r="593" spans="5:5" x14ac:dyDescent="0.15">
      <c r="E593" s="180"/>
    </row>
    <row r="594" spans="5:5" x14ac:dyDescent="0.15">
      <c r="E594" s="180"/>
    </row>
    <row r="595" spans="5:5" x14ac:dyDescent="0.15">
      <c r="E595" s="180"/>
    </row>
    <row r="596" spans="5:5" x14ac:dyDescent="0.15">
      <c r="E596" s="180"/>
    </row>
    <row r="597" spans="5:5" x14ac:dyDescent="0.15">
      <c r="E597" s="180"/>
    </row>
    <row r="598" spans="5:5" x14ac:dyDescent="0.15">
      <c r="E598" s="180"/>
    </row>
    <row r="599" spans="5:5" x14ac:dyDescent="0.15">
      <c r="E599" s="180"/>
    </row>
    <row r="600" spans="5:5" x14ac:dyDescent="0.15">
      <c r="E600" s="180"/>
    </row>
    <row r="601" spans="5:5" x14ac:dyDescent="0.15">
      <c r="E601" s="180"/>
    </row>
    <row r="602" spans="5:5" x14ac:dyDescent="0.15">
      <c r="E602" s="180"/>
    </row>
    <row r="603" spans="5:5" x14ac:dyDescent="0.15">
      <c r="E603" s="180"/>
    </row>
    <row r="604" spans="5:5" x14ac:dyDescent="0.15">
      <c r="E604" s="180"/>
    </row>
    <row r="605" spans="5:5" x14ac:dyDescent="0.15">
      <c r="E605" s="180"/>
    </row>
    <row r="606" spans="5:5" x14ac:dyDescent="0.15">
      <c r="E606" s="180"/>
    </row>
    <row r="607" spans="5:5" x14ac:dyDescent="0.15">
      <c r="E607" s="180"/>
    </row>
    <row r="608" spans="5:5" x14ac:dyDescent="0.15">
      <c r="E608" s="180"/>
    </row>
    <row r="609" spans="5:5" x14ac:dyDescent="0.15">
      <c r="E609" s="180"/>
    </row>
    <row r="610" spans="5:5" x14ac:dyDescent="0.15">
      <c r="E610" s="180"/>
    </row>
    <row r="611" spans="5:5" x14ac:dyDescent="0.15">
      <c r="E611" s="180"/>
    </row>
    <row r="612" spans="5:5" x14ac:dyDescent="0.15">
      <c r="E612" s="180"/>
    </row>
    <row r="613" spans="5:5" x14ac:dyDescent="0.15">
      <c r="E613" s="180"/>
    </row>
    <row r="614" spans="5:5" x14ac:dyDescent="0.15">
      <c r="E614" s="180"/>
    </row>
    <row r="615" spans="5:5" x14ac:dyDescent="0.15">
      <c r="E615" s="180"/>
    </row>
    <row r="616" spans="5:5" x14ac:dyDescent="0.15">
      <c r="E616" s="180"/>
    </row>
    <row r="617" spans="5:5" x14ac:dyDescent="0.15">
      <c r="E617" s="180"/>
    </row>
    <row r="618" spans="5:5" x14ac:dyDescent="0.15">
      <c r="E618" s="180"/>
    </row>
    <row r="619" spans="5:5" x14ac:dyDescent="0.15">
      <c r="E619" s="180"/>
    </row>
    <row r="620" spans="5:5" x14ac:dyDescent="0.15">
      <c r="E620" s="180"/>
    </row>
    <row r="621" spans="5:5" x14ac:dyDescent="0.15">
      <c r="E621" s="180"/>
    </row>
    <row r="622" spans="5:5" x14ac:dyDescent="0.15">
      <c r="E622" s="180"/>
    </row>
    <row r="623" spans="5:5" x14ac:dyDescent="0.15">
      <c r="E623" s="180"/>
    </row>
    <row r="624" spans="5:5" x14ac:dyDescent="0.15">
      <c r="E624" s="180"/>
    </row>
    <row r="625" spans="5:5" x14ac:dyDescent="0.15">
      <c r="E625" s="180"/>
    </row>
    <row r="626" spans="5:5" x14ac:dyDescent="0.15">
      <c r="E626" s="180"/>
    </row>
    <row r="627" spans="5:5" x14ac:dyDescent="0.15">
      <c r="E627" s="180"/>
    </row>
    <row r="628" spans="5:5" x14ac:dyDescent="0.15">
      <c r="E628" s="180"/>
    </row>
    <row r="629" spans="5:5" x14ac:dyDescent="0.15">
      <c r="E629" s="180"/>
    </row>
    <row r="630" spans="5:5" x14ac:dyDescent="0.15">
      <c r="E630" s="180"/>
    </row>
    <row r="631" spans="5:5" x14ac:dyDescent="0.15">
      <c r="E631" s="180"/>
    </row>
    <row r="632" spans="5:5" x14ac:dyDescent="0.15">
      <c r="E632" s="180"/>
    </row>
    <row r="633" spans="5:5" x14ac:dyDescent="0.15">
      <c r="E633" s="180"/>
    </row>
    <row r="634" spans="5:5" x14ac:dyDescent="0.15">
      <c r="E634" s="180"/>
    </row>
    <row r="635" spans="5:5" x14ac:dyDescent="0.15">
      <c r="E635" s="180"/>
    </row>
    <row r="636" spans="5:5" x14ac:dyDescent="0.15">
      <c r="E636" s="180"/>
    </row>
    <row r="637" spans="5:5" x14ac:dyDescent="0.15">
      <c r="E637" s="180"/>
    </row>
    <row r="638" spans="5:5" x14ac:dyDescent="0.15">
      <c r="E638" s="180"/>
    </row>
    <row r="639" spans="5:5" x14ac:dyDescent="0.15">
      <c r="E639" s="180"/>
    </row>
    <row r="640" spans="5:5" x14ac:dyDescent="0.15">
      <c r="E640" s="180"/>
    </row>
    <row r="641" spans="5:5" x14ac:dyDescent="0.15">
      <c r="E641" s="180"/>
    </row>
    <row r="642" spans="5:5" x14ac:dyDescent="0.15">
      <c r="E642" s="180"/>
    </row>
    <row r="643" spans="5:5" x14ac:dyDescent="0.15">
      <c r="E643" s="180"/>
    </row>
    <row r="644" spans="5:5" x14ac:dyDescent="0.15">
      <c r="E644" s="180"/>
    </row>
    <row r="645" spans="5:5" x14ac:dyDescent="0.15">
      <c r="E645" s="180"/>
    </row>
    <row r="646" spans="5:5" x14ac:dyDescent="0.15">
      <c r="E646" s="180"/>
    </row>
    <row r="647" spans="5:5" x14ac:dyDescent="0.15">
      <c r="E647" s="180"/>
    </row>
    <row r="648" spans="5:5" x14ac:dyDescent="0.15">
      <c r="E648" s="180"/>
    </row>
    <row r="649" spans="5:5" x14ac:dyDescent="0.15">
      <c r="E649" s="180"/>
    </row>
    <row r="650" spans="5:5" x14ac:dyDescent="0.15">
      <c r="E650" s="180"/>
    </row>
    <row r="651" spans="5:5" x14ac:dyDescent="0.15">
      <c r="E651" s="180"/>
    </row>
    <row r="652" spans="5:5" x14ac:dyDescent="0.15">
      <c r="E652" s="180"/>
    </row>
    <row r="653" spans="5:5" x14ac:dyDescent="0.15">
      <c r="E653" s="180"/>
    </row>
    <row r="654" spans="5:5" x14ac:dyDescent="0.15">
      <c r="E654" s="180"/>
    </row>
    <row r="655" spans="5:5" x14ac:dyDescent="0.15">
      <c r="E655" s="180"/>
    </row>
    <row r="656" spans="5:5" x14ac:dyDescent="0.15">
      <c r="E656" s="180"/>
    </row>
    <row r="657" spans="5:5" x14ac:dyDescent="0.15">
      <c r="E657" s="180"/>
    </row>
    <row r="658" spans="5:5" x14ac:dyDescent="0.15">
      <c r="E658" s="180"/>
    </row>
    <row r="659" spans="5:5" x14ac:dyDescent="0.15">
      <c r="E659" s="180"/>
    </row>
    <row r="660" spans="5:5" x14ac:dyDescent="0.15">
      <c r="E660" s="180"/>
    </row>
    <row r="661" spans="5:5" x14ac:dyDescent="0.15">
      <c r="E661" s="180"/>
    </row>
    <row r="662" spans="5:5" x14ac:dyDescent="0.15">
      <c r="E662" s="180"/>
    </row>
    <row r="663" spans="5:5" x14ac:dyDescent="0.15">
      <c r="E663" s="180"/>
    </row>
    <row r="664" spans="5:5" x14ac:dyDescent="0.15">
      <c r="E664" s="180"/>
    </row>
    <row r="665" spans="5:5" x14ac:dyDescent="0.15">
      <c r="E665" s="180"/>
    </row>
    <row r="666" spans="5:5" x14ac:dyDescent="0.15">
      <c r="E666" s="180"/>
    </row>
    <row r="667" spans="5:5" x14ac:dyDescent="0.15">
      <c r="E667" s="180"/>
    </row>
    <row r="668" spans="5:5" x14ac:dyDescent="0.15">
      <c r="E668" s="180"/>
    </row>
    <row r="669" spans="5:5" x14ac:dyDescent="0.15">
      <c r="E669" s="180"/>
    </row>
    <row r="670" spans="5:5" x14ac:dyDescent="0.15">
      <c r="E670" s="180"/>
    </row>
    <row r="671" spans="5:5" x14ac:dyDescent="0.15">
      <c r="E671" s="180"/>
    </row>
    <row r="672" spans="5:5" x14ac:dyDescent="0.15">
      <c r="E672" s="180"/>
    </row>
    <row r="673" spans="5:5" x14ac:dyDescent="0.15">
      <c r="E673" s="180"/>
    </row>
    <row r="674" spans="5:5" x14ac:dyDescent="0.15">
      <c r="E674" s="180"/>
    </row>
    <row r="675" spans="5:5" x14ac:dyDescent="0.15">
      <c r="E675" s="180"/>
    </row>
    <row r="676" spans="5:5" x14ac:dyDescent="0.15">
      <c r="E676" s="180"/>
    </row>
    <row r="677" spans="5:5" x14ac:dyDescent="0.15">
      <c r="E677" s="180"/>
    </row>
    <row r="678" spans="5:5" x14ac:dyDescent="0.15">
      <c r="E678" s="180"/>
    </row>
    <row r="679" spans="5:5" x14ac:dyDescent="0.15">
      <c r="E679" s="180"/>
    </row>
    <row r="680" spans="5:5" x14ac:dyDescent="0.15">
      <c r="E680" s="180"/>
    </row>
    <row r="681" spans="5:5" x14ac:dyDescent="0.15">
      <c r="E681" s="180"/>
    </row>
    <row r="682" spans="5:5" x14ac:dyDescent="0.15">
      <c r="E682" s="180"/>
    </row>
    <row r="683" spans="5:5" x14ac:dyDescent="0.15">
      <c r="E683" s="180"/>
    </row>
    <row r="684" spans="5:5" x14ac:dyDescent="0.15">
      <c r="E684" s="180"/>
    </row>
    <row r="685" spans="5:5" x14ac:dyDescent="0.15">
      <c r="E685" s="180"/>
    </row>
    <row r="686" spans="5:5" x14ac:dyDescent="0.15">
      <c r="E686" s="180"/>
    </row>
    <row r="687" spans="5:5" x14ac:dyDescent="0.15">
      <c r="E687" s="180"/>
    </row>
    <row r="688" spans="5:5" x14ac:dyDescent="0.15">
      <c r="E688" s="180"/>
    </row>
    <row r="689" spans="5:5" x14ac:dyDescent="0.15">
      <c r="E689" s="180"/>
    </row>
    <row r="690" spans="5:5" x14ac:dyDescent="0.15">
      <c r="E690" s="180"/>
    </row>
    <row r="691" spans="5:5" x14ac:dyDescent="0.15">
      <c r="E691" s="180"/>
    </row>
    <row r="692" spans="5:5" x14ac:dyDescent="0.15">
      <c r="E692" s="180"/>
    </row>
    <row r="693" spans="5:5" x14ac:dyDescent="0.15">
      <c r="E693" s="180"/>
    </row>
    <row r="694" spans="5:5" x14ac:dyDescent="0.15">
      <c r="E694" s="180"/>
    </row>
    <row r="695" spans="5:5" x14ac:dyDescent="0.15">
      <c r="E695" s="180"/>
    </row>
    <row r="696" spans="5:5" x14ac:dyDescent="0.15">
      <c r="E696" s="180"/>
    </row>
    <row r="697" spans="5:5" x14ac:dyDescent="0.15">
      <c r="E697" s="180"/>
    </row>
    <row r="698" spans="5:5" x14ac:dyDescent="0.15">
      <c r="E698" s="180"/>
    </row>
    <row r="699" spans="5:5" x14ac:dyDescent="0.15">
      <c r="E699" s="180"/>
    </row>
    <row r="700" spans="5:5" x14ac:dyDescent="0.15">
      <c r="E700" s="180"/>
    </row>
    <row r="701" spans="5:5" x14ac:dyDescent="0.15">
      <c r="E701" s="180"/>
    </row>
    <row r="702" spans="5:5" x14ac:dyDescent="0.15">
      <c r="E702" s="180"/>
    </row>
    <row r="703" spans="5:5" x14ac:dyDescent="0.15">
      <c r="E703" s="180"/>
    </row>
    <row r="704" spans="5:5" x14ac:dyDescent="0.15">
      <c r="E704" s="180"/>
    </row>
    <row r="705" spans="5:5" x14ac:dyDescent="0.15">
      <c r="E705" s="180"/>
    </row>
    <row r="706" spans="5:5" x14ac:dyDescent="0.15">
      <c r="E706" s="180"/>
    </row>
    <row r="707" spans="5:5" x14ac:dyDescent="0.15">
      <c r="E707" s="180"/>
    </row>
    <row r="708" spans="5:5" x14ac:dyDescent="0.15">
      <c r="E708" s="180"/>
    </row>
    <row r="709" spans="5:5" x14ac:dyDescent="0.15">
      <c r="E709" s="180"/>
    </row>
    <row r="710" spans="5:5" x14ac:dyDescent="0.15">
      <c r="E710" s="180"/>
    </row>
    <row r="711" spans="5:5" x14ac:dyDescent="0.15">
      <c r="E711" s="180"/>
    </row>
    <row r="712" spans="5:5" x14ac:dyDescent="0.15">
      <c r="E712" s="180"/>
    </row>
    <row r="713" spans="5:5" x14ac:dyDescent="0.15">
      <c r="E713" s="180"/>
    </row>
    <row r="714" spans="5:5" x14ac:dyDescent="0.15">
      <c r="E714" s="180"/>
    </row>
    <row r="715" spans="5:5" x14ac:dyDescent="0.15">
      <c r="E715" s="180"/>
    </row>
    <row r="716" spans="5:5" x14ac:dyDescent="0.15">
      <c r="E716" s="180"/>
    </row>
    <row r="717" spans="5:5" x14ac:dyDescent="0.15">
      <c r="E717" s="180"/>
    </row>
    <row r="718" spans="5:5" x14ac:dyDescent="0.15">
      <c r="E718" s="180"/>
    </row>
    <row r="719" spans="5:5" x14ac:dyDescent="0.15">
      <c r="E719" s="180"/>
    </row>
    <row r="720" spans="5:5" x14ac:dyDescent="0.15">
      <c r="E720" s="180"/>
    </row>
    <row r="721" spans="5:5" x14ac:dyDescent="0.15">
      <c r="E721" s="180"/>
    </row>
    <row r="722" spans="5:5" x14ac:dyDescent="0.15">
      <c r="E722" s="180"/>
    </row>
    <row r="723" spans="5:5" x14ac:dyDescent="0.15">
      <c r="E723" s="180"/>
    </row>
    <row r="724" spans="5:5" x14ac:dyDescent="0.15">
      <c r="E724" s="180"/>
    </row>
    <row r="725" spans="5:5" x14ac:dyDescent="0.15">
      <c r="E725" s="180"/>
    </row>
    <row r="726" spans="5:5" x14ac:dyDescent="0.15">
      <c r="E726" s="180"/>
    </row>
    <row r="727" spans="5:5" x14ac:dyDescent="0.15">
      <c r="E727" s="180"/>
    </row>
    <row r="728" spans="5:5" x14ac:dyDescent="0.15">
      <c r="E728" s="180"/>
    </row>
    <row r="729" spans="5:5" x14ac:dyDescent="0.15">
      <c r="E729" s="180"/>
    </row>
    <row r="730" spans="5:5" x14ac:dyDescent="0.15">
      <c r="E730" s="180"/>
    </row>
    <row r="731" spans="5:5" x14ac:dyDescent="0.15">
      <c r="E731" s="180"/>
    </row>
    <row r="732" spans="5:5" x14ac:dyDescent="0.15">
      <c r="E732" s="180"/>
    </row>
    <row r="733" spans="5:5" x14ac:dyDescent="0.15">
      <c r="E733" s="180"/>
    </row>
    <row r="734" spans="5:5" x14ac:dyDescent="0.15">
      <c r="E734" s="180"/>
    </row>
    <row r="735" spans="5:5" x14ac:dyDescent="0.15">
      <c r="E735" s="180"/>
    </row>
    <row r="736" spans="5:5" x14ac:dyDescent="0.15">
      <c r="E736" s="180"/>
    </row>
    <row r="737" spans="5:5" x14ac:dyDescent="0.15">
      <c r="E737" s="180"/>
    </row>
    <row r="738" spans="5:5" x14ac:dyDescent="0.15">
      <c r="E738" s="180"/>
    </row>
    <row r="739" spans="5:5" x14ac:dyDescent="0.15">
      <c r="E739" s="180"/>
    </row>
    <row r="740" spans="5:5" x14ac:dyDescent="0.15">
      <c r="E740" s="180"/>
    </row>
    <row r="741" spans="5:5" x14ac:dyDescent="0.15">
      <c r="E741" s="180"/>
    </row>
    <row r="742" spans="5:5" x14ac:dyDescent="0.15">
      <c r="E742" s="180"/>
    </row>
    <row r="743" spans="5:5" x14ac:dyDescent="0.15">
      <c r="E743" s="180"/>
    </row>
    <row r="744" spans="5:5" x14ac:dyDescent="0.15">
      <c r="E744" s="180"/>
    </row>
    <row r="745" spans="5:5" x14ac:dyDescent="0.15">
      <c r="E745" s="180"/>
    </row>
    <row r="746" spans="5:5" x14ac:dyDescent="0.15">
      <c r="E746" s="180"/>
    </row>
    <row r="747" spans="5:5" x14ac:dyDescent="0.15">
      <c r="E747" s="180"/>
    </row>
    <row r="748" spans="5:5" x14ac:dyDescent="0.15">
      <c r="E748" s="180"/>
    </row>
    <row r="749" spans="5:5" x14ac:dyDescent="0.15">
      <c r="E749" s="180"/>
    </row>
    <row r="750" spans="5:5" x14ac:dyDescent="0.15">
      <c r="E750" s="180"/>
    </row>
    <row r="751" spans="5:5" x14ac:dyDescent="0.15">
      <c r="E751" s="180"/>
    </row>
    <row r="752" spans="5:5" x14ac:dyDescent="0.15">
      <c r="E752" s="180"/>
    </row>
    <row r="753" spans="5:5" x14ac:dyDescent="0.15">
      <c r="E753" s="180"/>
    </row>
    <row r="754" spans="5:5" x14ac:dyDescent="0.15">
      <c r="E754" s="180"/>
    </row>
    <row r="755" spans="5:5" x14ac:dyDescent="0.15">
      <c r="E755" s="180"/>
    </row>
    <row r="756" spans="5:5" x14ac:dyDescent="0.15">
      <c r="E756" s="180"/>
    </row>
    <row r="757" spans="5:5" x14ac:dyDescent="0.15">
      <c r="E757" s="180"/>
    </row>
    <row r="758" spans="5:5" x14ac:dyDescent="0.15">
      <c r="E758" s="180"/>
    </row>
    <row r="759" spans="5:5" x14ac:dyDescent="0.15">
      <c r="E759" s="180"/>
    </row>
    <row r="760" spans="5:5" x14ac:dyDescent="0.15">
      <c r="E760" s="180"/>
    </row>
    <row r="761" spans="5:5" x14ac:dyDescent="0.15">
      <c r="E761" s="180"/>
    </row>
    <row r="762" spans="5:5" x14ac:dyDescent="0.15">
      <c r="E762" s="180"/>
    </row>
    <row r="763" spans="5:5" x14ac:dyDescent="0.15">
      <c r="E763" s="180"/>
    </row>
    <row r="764" spans="5:5" x14ac:dyDescent="0.15">
      <c r="E764" s="180"/>
    </row>
    <row r="765" spans="5:5" x14ac:dyDescent="0.15">
      <c r="E765" s="180"/>
    </row>
    <row r="766" spans="5:5" x14ac:dyDescent="0.15">
      <c r="E766" s="180"/>
    </row>
    <row r="767" spans="5:5" x14ac:dyDescent="0.15">
      <c r="E767" s="180"/>
    </row>
    <row r="768" spans="5:5" x14ac:dyDescent="0.15">
      <c r="E768" s="180"/>
    </row>
    <row r="769" spans="5:5" x14ac:dyDescent="0.15">
      <c r="E769" s="180"/>
    </row>
    <row r="770" spans="5:5" x14ac:dyDescent="0.15">
      <c r="E770" s="180"/>
    </row>
    <row r="771" spans="5:5" x14ac:dyDescent="0.15">
      <c r="E771" s="180"/>
    </row>
    <row r="772" spans="5:5" x14ac:dyDescent="0.15">
      <c r="E772" s="180"/>
    </row>
    <row r="773" spans="5:5" x14ac:dyDescent="0.15">
      <c r="E773" s="180"/>
    </row>
    <row r="774" spans="5:5" x14ac:dyDescent="0.15">
      <c r="E774" s="180"/>
    </row>
    <row r="775" spans="5:5" x14ac:dyDescent="0.15">
      <c r="E775" s="180"/>
    </row>
    <row r="776" spans="5:5" x14ac:dyDescent="0.15">
      <c r="E776" s="180"/>
    </row>
    <row r="777" spans="5:5" x14ac:dyDescent="0.15">
      <c r="E777" s="180"/>
    </row>
    <row r="778" spans="5:5" x14ac:dyDescent="0.15">
      <c r="E778" s="180"/>
    </row>
    <row r="779" spans="5:5" x14ac:dyDescent="0.15">
      <c r="E779" s="180"/>
    </row>
    <row r="780" spans="5:5" x14ac:dyDescent="0.15">
      <c r="E780" s="180"/>
    </row>
    <row r="781" spans="5:5" x14ac:dyDescent="0.15">
      <c r="E781" s="180"/>
    </row>
    <row r="782" spans="5:5" x14ac:dyDescent="0.15">
      <c r="E782" s="180"/>
    </row>
    <row r="783" spans="5:5" x14ac:dyDescent="0.15">
      <c r="E783" s="180"/>
    </row>
    <row r="784" spans="5:5" x14ac:dyDescent="0.15">
      <c r="E784" s="180"/>
    </row>
    <row r="785" spans="5:5" x14ac:dyDescent="0.15">
      <c r="E785" s="180"/>
    </row>
    <row r="786" spans="5:5" x14ac:dyDescent="0.15">
      <c r="E786" s="180"/>
    </row>
    <row r="787" spans="5:5" x14ac:dyDescent="0.15">
      <c r="E787" s="180"/>
    </row>
    <row r="788" spans="5:5" x14ac:dyDescent="0.15">
      <c r="E788" s="180"/>
    </row>
    <row r="789" spans="5:5" x14ac:dyDescent="0.15">
      <c r="E789" s="180"/>
    </row>
    <row r="790" spans="5:5" x14ac:dyDescent="0.15">
      <c r="E790" s="180"/>
    </row>
    <row r="791" spans="5:5" x14ac:dyDescent="0.15">
      <c r="E791" s="180"/>
    </row>
    <row r="792" spans="5:5" x14ac:dyDescent="0.15">
      <c r="E792" s="180"/>
    </row>
    <row r="793" spans="5:5" x14ac:dyDescent="0.15">
      <c r="E793" s="180"/>
    </row>
    <row r="794" spans="5:5" x14ac:dyDescent="0.15">
      <c r="E794" s="180"/>
    </row>
    <row r="795" spans="5:5" x14ac:dyDescent="0.15">
      <c r="E795" s="180"/>
    </row>
    <row r="796" spans="5:5" x14ac:dyDescent="0.15">
      <c r="E796" s="180"/>
    </row>
    <row r="797" spans="5:5" x14ac:dyDescent="0.15">
      <c r="E797" s="180"/>
    </row>
    <row r="798" spans="5:5" x14ac:dyDescent="0.15">
      <c r="E798" s="180"/>
    </row>
    <row r="799" spans="5:5" x14ac:dyDescent="0.15">
      <c r="E799" s="180"/>
    </row>
    <row r="800" spans="5:5" x14ac:dyDescent="0.15">
      <c r="E800" s="180"/>
    </row>
    <row r="801" spans="5:5" x14ac:dyDescent="0.15">
      <c r="E801" s="180"/>
    </row>
    <row r="802" spans="5:5" x14ac:dyDescent="0.15">
      <c r="E802" s="180"/>
    </row>
    <row r="803" spans="5:5" x14ac:dyDescent="0.15">
      <c r="E803" s="180"/>
    </row>
    <row r="804" spans="5:5" x14ac:dyDescent="0.15">
      <c r="E804" s="180"/>
    </row>
    <row r="805" spans="5:5" x14ac:dyDescent="0.15">
      <c r="E805" s="180"/>
    </row>
    <row r="806" spans="5:5" x14ac:dyDescent="0.15">
      <c r="E806" s="180"/>
    </row>
    <row r="807" spans="5:5" x14ac:dyDescent="0.15">
      <c r="E807" s="180"/>
    </row>
    <row r="808" spans="5:5" x14ac:dyDescent="0.15">
      <c r="E808" s="180"/>
    </row>
    <row r="809" spans="5:5" x14ac:dyDescent="0.15">
      <c r="E809" s="180"/>
    </row>
    <row r="810" spans="5:5" x14ac:dyDescent="0.15">
      <c r="E810" s="180"/>
    </row>
    <row r="811" spans="5:5" x14ac:dyDescent="0.15">
      <c r="E811" s="180"/>
    </row>
    <row r="812" spans="5:5" x14ac:dyDescent="0.15">
      <c r="E812" s="180"/>
    </row>
    <row r="813" spans="5:5" x14ac:dyDescent="0.15">
      <c r="E813" s="180"/>
    </row>
    <row r="814" spans="5:5" x14ac:dyDescent="0.15">
      <c r="E814" s="180"/>
    </row>
    <row r="815" spans="5:5" x14ac:dyDescent="0.15">
      <c r="E815" s="180"/>
    </row>
    <row r="816" spans="5:5" x14ac:dyDescent="0.15">
      <c r="E816" s="180"/>
    </row>
    <row r="817" spans="5:5" x14ac:dyDescent="0.15">
      <c r="E817" s="180"/>
    </row>
    <row r="818" spans="5:5" x14ac:dyDescent="0.15">
      <c r="E818" s="180"/>
    </row>
    <row r="819" spans="5:5" x14ac:dyDescent="0.15">
      <c r="E819" s="180"/>
    </row>
    <row r="820" spans="5:5" x14ac:dyDescent="0.15">
      <c r="E820" s="180"/>
    </row>
    <row r="821" spans="5:5" x14ac:dyDescent="0.15">
      <c r="E821" s="180"/>
    </row>
    <row r="822" spans="5:5" x14ac:dyDescent="0.15">
      <c r="E822" s="180"/>
    </row>
    <row r="823" spans="5:5" x14ac:dyDescent="0.15">
      <c r="E823" s="180"/>
    </row>
    <row r="824" spans="5:5" x14ac:dyDescent="0.15">
      <c r="E824" s="180"/>
    </row>
    <row r="825" spans="5:5" x14ac:dyDescent="0.15">
      <c r="E825" s="180"/>
    </row>
    <row r="826" spans="5:5" x14ac:dyDescent="0.15">
      <c r="E826" s="180"/>
    </row>
    <row r="827" spans="5:5" x14ac:dyDescent="0.15">
      <c r="E827" s="180"/>
    </row>
    <row r="828" spans="5:5" x14ac:dyDescent="0.15">
      <c r="E828" s="180"/>
    </row>
    <row r="829" spans="5:5" x14ac:dyDescent="0.15">
      <c r="E829" s="180"/>
    </row>
    <row r="830" spans="5:5" x14ac:dyDescent="0.15">
      <c r="E830" s="180"/>
    </row>
    <row r="831" spans="5:5" x14ac:dyDescent="0.15">
      <c r="E831" s="180"/>
    </row>
    <row r="832" spans="5:5" x14ac:dyDescent="0.15">
      <c r="E832" s="180"/>
    </row>
    <row r="833" spans="5:5" x14ac:dyDescent="0.15">
      <c r="E833" s="180"/>
    </row>
    <row r="834" spans="5:5" x14ac:dyDescent="0.15">
      <c r="E834" s="180"/>
    </row>
    <row r="835" spans="5:5" x14ac:dyDescent="0.15">
      <c r="E835" s="180"/>
    </row>
    <row r="836" spans="5:5" x14ac:dyDescent="0.15">
      <c r="E836" s="180"/>
    </row>
    <row r="837" spans="5:5" x14ac:dyDescent="0.15">
      <c r="E837" s="180"/>
    </row>
    <row r="838" spans="5:5" x14ac:dyDescent="0.15">
      <c r="E838" s="180"/>
    </row>
    <row r="839" spans="5:5" x14ac:dyDescent="0.15">
      <c r="E839" s="180"/>
    </row>
    <row r="840" spans="5:5" x14ac:dyDescent="0.15">
      <c r="E840" s="180"/>
    </row>
    <row r="841" spans="5:5" x14ac:dyDescent="0.15">
      <c r="E841" s="180"/>
    </row>
    <row r="842" spans="5:5" x14ac:dyDescent="0.15">
      <c r="E842" s="180"/>
    </row>
    <row r="843" spans="5:5" x14ac:dyDescent="0.15">
      <c r="E843" s="180"/>
    </row>
    <row r="844" spans="5:5" x14ac:dyDescent="0.15">
      <c r="E844" s="180"/>
    </row>
    <row r="845" spans="5:5" x14ac:dyDescent="0.15">
      <c r="E845" s="180"/>
    </row>
    <row r="846" spans="5:5" x14ac:dyDescent="0.15">
      <c r="E846" s="180"/>
    </row>
    <row r="847" spans="5:5" x14ac:dyDescent="0.15">
      <c r="E847" s="180"/>
    </row>
    <row r="848" spans="5:5" x14ac:dyDescent="0.15">
      <c r="E848" s="180"/>
    </row>
    <row r="849" spans="5:5" x14ac:dyDescent="0.15">
      <c r="E849" s="180"/>
    </row>
    <row r="850" spans="5:5" x14ac:dyDescent="0.15">
      <c r="E850" s="180"/>
    </row>
    <row r="851" spans="5:5" x14ac:dyDescent="0.15">
      <c r="E851" s="180"/>
    </row>
    <row r="852" spans="5:5" x14ac:dyDescent="0.15">
      <c r="E852" s="180"/>
    </row>
    <row r="853" spans="5:5" x14ac:dyDescent="0.15">
      <c r="E853" s="180"/>
    </row>
    <row r="854" spans="5:5" x14ac:dyDescent="0.15">
      <c r="E854" s="180"/>
    </row>
    <row r="855" spans="5:5" x14ac:dyDescent="0.15">
      <c r="E855" s="180"/>
    </row>
    <row r="856" spans="5:5" x14ac:dyDescent="0.15">
      <c r="E856" s="180"/>
    </row>
    <row r="857" spans="5:5" x14ac:dyDescent="0.15">
      <c r="E857" s="180"/>
    </row>
    <row r="858" spans="5:5" x14ac:dyDescent="0.15">
      <c r="E858" s="180"/>
    </row>
    <row r="859" spans="5:5" x14ac:dyDescent="0.15">
      <c r="E859" s="180"/>
    </row>
    <row r="860" spans="5:5" x14ac:dyDescent="0.15">
      <c r="E860" s="180"/>
    </row>
    <row r="861" spans="5:5" x14ac:dyDescent="0.15">
      <c r="E861" s="180"/>
    </row>
    <row r="862" spans="5:5" x14ac:dyDescent="0.15">
      <c r="E862" s="180"/>
    </row>
    <row r="863" spans="5:5" x14ac:dyDescent="0.15">
      <c r="E863" s="180"/>
    </row>
    <row r="864" spans="5:5" x14ac:dyDescent="0.15">
      <c r="E864" s="180"/>
    </row>
    <row r="865" spans="5:5" x14ac:dyDescent="0.15">
      <c r="E865" s="180"/>
    </row>
    <row r="866" spans="5:5" x14ac:dyDescent="0.15">
      <c r="E866" s="180"/>
    </row>
    <row r="867" spans="5:5" x14ac:dyDescent="0.15">
      <c r="E867" s="180"/>
    </row>
    <row r="868" spans="5:5" x14ac:dyDescent="0.15">
      <c r="E868" s="180"/>
    </row>
    <row r="869" spans="5:5" x14ac:dyDescent="0.15">
      <c r="E869" s="180"/>
    </row>
    <row r="870" spans="5:5" x14ac:dyDescent="0.15">
      <c r="E870" s="180"/>
    </row>
    <row r="871" spans="5:5" x14ac:dyDescent="0.15">
      <c r="E871" s="180"/>
    </row>
    <row r="872" spans="5:5" x14ac:dyDescent="0.15">
      <c r="E872" s="180"/>
    </row>
    <row r="873" spans="5:5" x14ac:dyDescent="0.15">
      <c r="E873" s="180"/>
    </row>
    <row r="874" spans="5:5" x14ac:dyDescent="0.15">
      <c r="E874" s="180"/>
    </row>
    <row r="875" spans="5:5" x14ac:dyDescent="0.15">
      <c r="E875" s="180"/>
    </row>
    <row r="876" spans="5:5" x14ac:dyDescent="0.15">
      <c r="E876" s="180"/>
    </row>
    <row r="877" spans="5:5" x14ac:dyDescent="0.15">
      <c r="E877" s="180"/>
    </row>
    <row r="878" spans="5:5" x14ac:dyDescent="0.15">
      <c r="E878" s="180"/>
    </row>
    <row r="879" spans="5:5" x14ac:dyDescent="0.15">
      <c r="E879" s="180"/>
    </row>
    <row r="880" spans="5:5" x14ac:dyDescent="0.15">
      <c r="E880" s="180"/>
    </row>
    <row r="881" spans="5:5" x14ac:dyDescent="0.15">
      <c r="E881" s="180"/>
    </row>
    <row r="882" spans="5:5" x14ac:dyDescent="0.15">
      <c r="E882" s="180"/>
    </row>
    <row r="883" spans="5:5" x14ac:dyDescent="0.15">
      <c r="E883" s="180"/>
    </row>
    <row r="884" spans="5:5" x14ac:dyDescent="0.15">
      <c r="E884" s="180"/>
    </row>
    <row r="885" spans="5:5" x14ac:dyDescent="0.15">
      <c r="E885" s="180"/>
    </row>
    <row r="886" spans="5:5" x14ac:dyDescent="0.15">
      <c r="E886" s="180"/>
    </row>
    <row r="887" spans="5:5" x14ac:dyDescent="0.15">
      <c r="E887" s="180"/>
    </row>
    <row r="888" spans="5:5" x14ac:dyDescent="0.15">
      <c r="E888" s="180"/>
    </row>
    <row r="889" spans="5:5" x14ac:dyDescent="0.15">
      <c r="E889" s="180"/>
    </row>
    <row r="890" spans="5:5" x14ac:dyDescent="0.15">
      <c r="E890" s="180"/>
    </row>
    <row r="891" spans="5:5" x14ac:dyDescent="0.15">
      <c r="E891" s="180"/>
    </row>
    <row r="892" spans="5:5" x14ac:dyDescent="0.15">
      <c r="E892" s="180"/>
    </row>
    <row r="893" spans="5:5" x14ac:dyDescent="0.15">
      <c r="E893" s="180"/>
    </row>
    <row r="894" spans="5:5" x14ac:dyDescent="0.15">
      <c r="E894" s="180"/>
    </row>
    <row r="895" spans="5:5" x14ac:dyDescent="0.15">
      <c r="E895" s="180"/>
    </row>
    <row r="896" spans="5:5" x14ac:dyDescent="0.15">
      <c r="E896" s="180"/>
    </row>
    <row r="897" spans="5:5" x14ac:dyDescent="0.15">
      <c r="E897" s="180"/>
    </row>
    <row r="898" spans="5:5" x14ac:dyDescent="0.15">
      <c r="E898" s="180"/>
    </row>
    <row r="899" spans="5:5" x14ac:dyDescent="0.15">
      <c r="E899" s="180"/>
    </row>
    <row r="900" spans="5:5" x14ac:dyDescent="0.15">
      <c r="E900" s="180"/>
    </row>
    <row r="901" spans="5:5" x14ac:dyDescent="0.15">
      <c r="E901" s="180"/>
    </row>
    <row r="902" spans="5:5" x14ac:dyDescent="0.15">
      <c r="E902" s="180"/>
    </row>
    <row r="903" spans="5:5" x14ac:dyDescent="0.15">
      <c r="E903" s="180"/>
    </row>
    <row r="904" spans="5:5" x14ac:dyDescent="0.15">
      <c r="E904" s="180"/>
    </row>
    <row r="905" spans="5:5" x14ac:dyDescent="0.15">
      <c r="E905" s="180"/>
    </row>
    <row r="906" spans="5:5" x14ac:dyDescent="0.15">
      <c r="E906" s="180"/>
    </row>
    <row r="907" spans="5:5" x14ac:dyDescent="0.15">
      <c r="E907" s="180"/>
    </row>
    <row r="908" spans="5:5" x14ac:dyDescent="0.15">
      <c r="E908" s="180"/>
    </row>
    <row r="909" spans="5:5" x14ac:dyDescent="0.15">
      <c r="E909" s="180"/>
    </row>
    <row r="910" spans="5:5" x14ac:dyDescent="0.15">
      <c r="E910" s="180"/>
    </row>
    <row r="911" spans="5:5" x14ac:dyDescent="0.15">
      <c r="E911" s="180"/>
    </row>
    <row r="912" spans="5:5" x14ac:dyDescent="0.15">
      <c r="E912" s="180"/>
    </row>
    <row r="913" spans="5:5" x14ac:dyDescent="0.15">
      <c r="E913" s="180"/>
    </row>
    <row r="914" spans="5:5" x14ac:dyDescent="0.15">
      <c r="E914" s="180"/>
    </row>
    <row r="915" spans="5:5" x14ac:dyDescent="0.15">
      <c r="E915" s="180"/>
    </row>
    <row r="916" spans="5:5" x14ac:dyDescent="0.15">
      <c r="E916" s="180"/>
    </row>
    <row r="917" spans="5:5" x14ac:dyDescent="0.15">
      <c r="E917" s="180"/>
    </row>
    <row r="918" spans="5:5" x14ac:dyDescent="0.15">
      <c r="E918" s="180"/>
    </row>
    <row r="919" spans="5:5" x14ac:dyDescent="0.15">
      <c r="E919" s="180"/>
    </row>
    <row r="920" spans="5:5" x14ac:dyDescent="0.15">
      <c r="E920" s="180"/>
    </row>
    <row r="921" spans="5:5" x14ac:dyDescent="0.15">
      <c r="E921" s="180"/>
    </row>
    <row r="922" spans="5:5" x14ac:dyDescent="0.15">
      <c r="E922" s="180"/>
    </row>
    <row r="923" spans="5:5" x14ac:dyDescent="0.15">
      <c r="E923" s="180"/>
    </row>
    <row r="924" spans="5:5" x14ac:dyDescent="0.15">
      <c r="E924" s="180"/>
    </row>
    <row r="925" spans="5:5" x14ac:dyDescent="0.15">
      <c r="E925" s="180"/>
    </row>
    <row r="926" spans="5:5" x14ac:dyDescent="0.15">
      <c r="E926" s="180"/>
    </row>
    <row r="927" spans="5:5" x14ac:dyDescent="0.15">
      <c r="E927" s="180"/>
    </row>
    <row r="928" spans="5:5" x14ac:dyDescent="0.15">
      <c r="E928" s="180"/>
    </row>
    <row r="929" spans="5:5" x14ac:dyDescent="0.15">
      <c r="E929" s="180"/>
    </row>
    <row r="930" spans="5:5" x14ac:dyDescent="0.15">
      <c r="E930" s="180"/>
    </row>
    <row r="931" spans="5:5" x14ac:dyDescent="0.15">
      <c r="E931" s="180"/>
    </row>
    <row r="932" spans="5:5" x14ac:dyDescent="0.15">
      <c r="E932" s="180"/>
    </row>
    <row r="933" spans="5:5" x14ac:dyDescent="0.15">
      <c r="E933" s="180"/>
    </row>
    <row r="934" spans="5:5" x14ac:dyDescent="0.15">
      <c r="E934" s="180"/>
    </row>
    <row r="935" spans="5:5" x14ac:dyDescent="0.15">
      <c r="E935" s="180"/>
    </row>
    <row r="936" spans="5:5" x14ac:dyDescent="0.15">
      <c r="E936" s="180"/>
    </row>
    <row r="937" spans="5:5" x14ac:dyDescent="0.15">
      <c r="E937" s="180"/>
    </row>
    <row r="938" spans="5:5" x14ac:dyDescent="0.15">
      <c r="E938" s="180"/>
    </row>
    <row r="939" spans="5:5" x14ac:dyDescent="0.15">
      <c r="E939" s="180"/>
    </row>
    <row r="940" spans="5:5" x14ac:dyDescent="0.15">
      <c r="E940" s="180"/>
    </row>
    <row r="941" spans="5:5" x14ac:dyDescent="0.15">
      <c r="E941" s="180"/>
    </row>
    <row r="942" spans="5:5" x14ac:dyDescent="0.15">
      <c r="E942" s="180"/>
    </row>
    <row r="943" spans="5:5" x14ac:dyDescent="0.15">
      <c r="E943" s="180"/>
    </row>
    <row r="944" spans="5:5" x14ac:dyDescent="0.15">
      <c r="E944" s="180"/>
    </row>
    <row r="945" spans="5:5" x14ac:dyDescent="0.15">
      <c r="E945" s="180"/>
    </row>
    <row r="946" spans="5:5" x14ac:dyDescent="0.15">
      <c r="E946" s="180"/>
    </row>
    <row r="947" spans="5:5" x14ac:dyDescent="0.15">
      <c r="E947" s="180"/>
    </row>
    <row r="948" spans="5:5" x14ac:dyDescent="0.15">
      <c r="E948" s="180"/>
    </row>
    <row r="949" spans="5:5" x14ac:dyDescent="0.15">
      <c r="E949" s="180"/>
    </row>
    <row r="950" spans="5:5" x14ac:dyDescent="0.15">
      <c r="E950" s="180"/>
    </row>
    <row r="951" spans="5:5" x14ac:dyDescent="0.15">
      <c r="E951" s="180"/>
    </row>
    <row r="952" spans="5:5" x14ac:dyDescent="0.15">
      <c r="E952" s="180"/>
    </row>
    <row r="953" spans="5:5" x14ac:dyDescent="0.15">
      <c r="E953" s="180"/>
    </row>
    <row r="954" spans="5:5" x14ac:dyDescent="0.15">
      <c r="E954" s="180"/>
    </row>
    <row r="955" spans="5:5" x14ac:dyDescent="0.15">
      <c r="E955" s="180"/>
    </row>
    <row r="956" spans="5:5" x14ac:dyDescent="0.15">
      <c r="E956" s="180"/>
    </row>
    <row r="957" spans="5:5" x14ac:dyDescent="0.15">
      <c r="E957" s="180"/>
    </row>
    <row r="958" spans="5:5" x14ac:dyDescent="0.15">
      <c r="E958" s="180"/>
    </row>
    <row r="959" spans="5:5" x14ac:dyDescent="0.15">
      <c r="E959" s="180"/>
    </row>
    <row r="960" spans="5:5" x14ac:dyDescent="0.15">
      <c r="E960" s="180"/>
    </row>
    <row r="961" spans="5:5" x14ac:dyDescent="0.15">
      <c r="E961" s="180"/>
    </row>
    <row r="962" spans="5:5" x14ac:dyDescent="0.15">
      <c r="E962" s="180"/>
    </row>
    <row r="963" spans="5:5" x14ac:dyDescent="0.15">
      <c r="E963" s="180"/>
    </row>
    <row r="964" spans="5:5" x14ac:dyDescent="0.15">
      <c r="E964" s="180"/>
    </row>
    <row r="965" spans="5:5" x14ac:dyDescent="0.15">
      <c r="E965" s="180"/>
    </row>
    <row r="966" spans="5:5" x14ac:dyDescent="0.15">
      <c r="E966" s="180"/>
    </row>
    <row r="967" spans="5:5" x14ac:dyDescent="0.15">
      <c r="E967" s="180"/>
    </row>
    <row r="968" spans="5:5" x14ac:dyDescent="0.15">
      <c r="E968" s="180"/>
    </row>
    <row r="969" spans="5:5" x14ac:dyDescent="0.15">
      <c r="E969" s="180"/>
    </row>
    <row r="970" spans="5:5" x14ac:dyDescent="0.15">
      <c r="E970" s="180"/>
    </row>
    <row r="971" spans="5:5" x14ac:dyDescent="0.15">
      <c r="E971" s="180"/>
    </row>
    <row r="972" spans="5:5" x14ac:dyDescent="0.15">
      <c r="E972" s="180"/>
    </row>
    <row r="973" spans="5:5" x14ac:dyDescent="0.15">
      <c r="E973" s="180"/>
    </row>
    <row r="974" spans="5:5" x14ac:dyDescent="0.15">
      <c r="E974" s="180"/>
    </row>
    <row r="975" spans="5:5" x14ac:dyDescent="0.15">
      <c r="E975" s="180"/>
    </row>
    <row r="976" spans="5:5" x14ac:dyDescent="0.15">
      <c r="E976" s="180"/>
    </row>
    <row r="977" spans="5:5" x14ac:dyDescent="0.15">
      <c r="E977" s="180"/>
    </row>
    <row r="978" spans="5:5" x14ac:dyDescent="0.15">
      <c r="E978" s="180"/>
    </row>
    <row r="979" spans="5:5" x14ac:dyDescent="0.15">
      <c r="E979" s="180"/>
    </row>
    <row r="980" spans="5:5" x14ac:dyDescent="0.15">
      <c r="E980" s="180"/>
    </row>
    <row r="981" spans="5:5" x14ac:dyDescent="0.15">
      <c r="E981" s="180"/>
    </row>
    <row r="982" spans="5:5" x14ac:dyDescent="0.15">
      <c r="E982" s="180"/>
    </row>
    <row r="983" spans="5:5" x14ac:dyDescent="0.15">
      <c r="E983" s="180"/>
    </row>
    <row r="984" spans="5:5" x14ac:dyDescent="0.15">
      <c r="E984" s="180"/>
    </row>
    <row r="985" spans="5:5" x14ac:dyDescent="0.15">
      <c r="E985" s="180"/>
    </row>
    <row r="986" spans="5:5" x14ac:dyDescent="0.15">
      <c r="E986" s="180"/>
    </row>
    <row r="987" spans="5:5" x14ac:dyDescent="0.15">
      <c r="E987" s="180"/>
    </row>
    <row r="988" spans="5:5" x14ac:dyDescent="0.15">
      <c r="E988" s="180"/>
    </row>
    <row r="989" spans="5:5" x14ac:dyDescent="0.15">
      <c r="E989" s="180"/>
    </row>
    <row r="990" spans="5:5" x14ac:dyDescent="0.15">
      <c r="E990" s="180"/>
    </row>
    <row r="991" spans="5:5" x14ac:dyDescent="0.15">
      <c r="E991" s="180"/>
    </row>
    <row r="992" spans="5:5" x14ac:dyDescent="0.15">
      <c r="E992" s="180"/>
    </row>
    <row r="993" spans="5:5" x14ac:dyDescent="0.15">
      <c r="E993" s="180"/>
    </row>
    <row r="994" spans="5:5" x14ac:dyDescent="0.15">
      <c r="E994" s="180"/>
    </row>
    <row r="995" spans="5:5" x14ac:dyDescent="0.15">
      <c r="E995" s="180"/>
    </row>
    <row r="996" spans="5:5" x14ac:dyDescent="0.15">
      <c r="E996" s="180"/>
    </row>
    <row r="997" spans="5:5" x14ac:dyDescent="0.15">
      <c r="E997" s="180"/>
    </row>
    <row r="998" spans="5:5" x14ac:dyDescent="0.15">
      <c r="E998" s="180"/>
    </row>
    <row r="999" spans="5:5" x14ac:dyDescent="0.15">
      <c r="E999" s="180"/>
    </row>
    <row r="1000" spans="5:5" x14ac:dyDescent="0.15">
      <c r="E1000" s="180"/>
    </row>
  </sheetData>
  <autoFilter ref="A1:F289" xr:uid="{BE23B2C5-49E3-4787-B375-9E63C9360886}"/>
  <phoneticPr fontId="1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6"/>
  <sheetViews>
    <sheetView topLeftCell="A78" workbookViewId="0">
      <selection activeCell="B93" sqref="B93:B98"/>
    </sheetView>
  </sheetViews>
  <sheetFormatPr baseColWidth="10" defaultColWidth="10.83203125" defaultRowHeight="16" x14ac:dyDescent="0.2"/>
  <cols>
    <col min="1" max="1" width="10.83203125" style="51"/>
    <col min="2" max="2" width="14.1640625" style="51" customWidth="1"/>
    <col min="3" max="16384" width="10.83203125" style="51"/>
  </cols>
  <sheetData>
    <row r="1" spans="1:14" x14ac:dyDescent="0.2">
      <c r="A1" s="51" t="s">
        <v>646</v>
      </c>
    </row>
    <row r="2" spans="1:14" x14ac:dyDescent="0.2">
      <c r="A2" s="51" t="s">
        <v>647</v>
      </c>
      <c r="B2" s="51" t="s">
        <v>259</v>
      </c>
      <c r="C2" s="51" t="s">
        <v>648</v>
      </c>
      <c r="J2" s="51" t="s">
        <v>649</v>
      </c>
    </row>
    <row r="3" spans="1:14" x14ac:dyDescent="0.2">
      <c r="A3" s="51">
        <v>1</v>
      </c>
      <c r="B3" s="51" t="s">
        <v>650</v>
      </c>
      <c r="C3" s="83"/>
      <c r="J3" s="83"/>
    </row>
    <row r="4" spans="1:14" x14ac:dyDescent="0.2">
      <c r="A4" s="51">
        <v>2</v>
      </c>
      <c r="B4" s="51" t="s">
        <v>651</v>
      </c>
      <c r="C4" s="83"/>
      <c r="J4" s="83"/>
    </row>
    <row r="5" spans="1:14" x14ac:dyDescent="0.2">
      <c r="A5" s="51">
        <v>3</v>
      </c>
      <c r="B5" s="51" t="s">
        <v>652</v>
      </c>
      <c r="C5" s="83"/>
      <c r="J5" s="83"/>
    </row>
    <row r="6" spans="1:14" x14ac:dyDescent="0.2">
      <c r="A6" s="51">
        <v>4</v>
      </c>
      <c r="B6" s="51" t="s">
        <v>653</v>
      </c>
      <c r="C6" s="83"/>
      <c r="J6" s="83"/>
    </row>
    <row r="7" spans="1:14" x14ac:dyDescent="0.2">
      <c r="A7" s="51">
        <v>5</v>
      </c>
      <c r="B7" s="51" t="s">
        <v>654</v>
      </c>
      <c r="C7" s="83"/>
      <c r="J7" s="83"/>
    </row>
    <row r="8" spans="1:14" x14ac:dyDescent="0.2">
      <c r="A8" s="51">
        <v>6</v>
      </c>
      <c r="B8" s="51" t="s">
        <v>655</v>
      </c>
      <c r="C8" s="83"/>
      <c r="J8" s="83"/>
      <c r="K8" s="51" t="s">
        <v>656</v>
      </c>
      <c r="L8" s="51" t="s">
        <v>657</v>
      </c>
      <c r="M8" s="51" t="s">
        <v>656</v>
      </c>
      <c r="N8" s="51" t="s">
        <v>658</v>
      </c>
    </row>
    <row r="9" spans="1:14" x14ac:dyDescent="0.2">
      <c r="A9" s="51">
        <v>7</v>
      </c>
      <c r="B9" s="51" t="s">
        <v>659</v>
      </c>
      <c r="C9" s="83"/>
      <c r="J9" s="83"/>
      <c r="K9" s="53" t="s">
        <v>660</v>
      </c>
      <c r="L9" s="51" t="s">
        <v>661</v>
      </c>
      <c r="M9" s="51" t="s">
        <v>662</v>
      </c>
      <c r="N9" s="51" t="s">
        <v>663</v>
      </c>
    </row>
    <row r="10" spans="1:14" x14ac:dyDescent="0.2">
      <c r="A10" s="51">
        <v>8</v>
      </c>
      <c r="B10" s="51" t="s">
        <v>664</v>
      </c>
      <c r="C10" s="83"/>
      <c r="J10" s="83"/>
      <c r="K10" s="54" t="s">
        <v>665</v>
      </c>
      <c r="L10" s="55"/>
      <c r="M10" s="54" t="s">
        <v>666</v>
      </c>
      <c r="N10" s="55"/>
    </row>
    <row r="11" spans="1:14" x14ac:dyDescent="0.2">
      <c r="A11" s="51">
        <v>9</v>
      </c>
      <c r="B11" s="51" t="s">
        <v>667</v>
      </c>
      <c r="C11" s="83"/>
      <c r="J11" s="83"/>
      <c r="K11" s="54" t="s">
        <v>668</v>
      </c>
      <c r="L11" s="55"/>
      <c r="M11" s="54" t="s">
        <v>669</v>
      </c>
      <c r="N11" s="55"/>
    </row>
    <row r="12" spans="1:14" x14ac:dyDescent="0.2">
      <c r="A12" s="51">
        <v>10</v>
      </c>
      <c r="B12" s="51" t="s">
        <v>670</v>
      </c>
      <c r="C12" s="83"/>
      <c r="J12" s="83"/>
      <c r="K12" s="54" t="s">
        <v>671</v>
      </c>
      <c r="L12" s="55"/>
      <c r="M12" s="54" t="s">
        <v>672</v>
      </c>
      <c r="N12" s="55"/>
    </row>
    <row r="13" spans="1:14" x14ac:dyDescent="0.2">
      <c r="A13" s="51">
        <v>11</v>
      </c>
      <c r="B13" s="51" t="s">
        <v>673</v>
      </c>
      <c r="C13" s="83"/>
      <c r="J13" s="83"/>
      <c r="K13" s="54" t="s">
        <v>674</v>
      </c>
      <c r="L13" s="55"/>
      <c r="M13" s="54" t="s">
        <v>675</v>
      </c>
      <c r="N13" s="55"/>
    </row>
    <row r="14" spans="1:14" x14ac:dyDescent="0.2">
      <c r="A14" s="51">
        <v>12</v>
      </c>
      <c r="B14" s="51" t="s">
        <v>676</v>
      </c>
      <c r="C14" s="83"/>
      <c r="J14" s="83"/>
      <c r="K14" s="54" t="s">
        <v>677</v>
      </c>
      <c r="L14" s="55"/>
      <c r="M14" s="54" t="s">
        <v>678</v>
      </c>
      <c r="N14" s="55"/>
    </row>
    <row r="15" spans="1:14" x14ac:dyDescent="0.2">
      <c r="A15" s="51">
        <v>13</v>
      </c>
      <c r="B15" s="51" t="s">
        <v>679</v>
      </c>
      <c r="C15" s="83"/>
      <c r="J15" s="83"/>
      <c r="K15" s="54" t="s">
        <v>680</v>
      </c>
      <c r="L15" s="55"/>
      <c r="M15" s="54" t="s">
        <v>681</v>
      </c>
      <c r="N15" s="55"/>
    </row>
    <row r="16" spans="1:14" x14ac:dyDescent="0.2">
      <c r="A16" s="51">
        <v>14</v>
      </c>
      <c r="B16" s="51" t="s">
        <v>682</v>
      </c>
      <c r="C16" s="83"/>
      <c r="J16" s="83"/>
      <c r="K16" s="54" t="s">
        <v>683</v>
      </c>
      <c r="L16" s="55"/>
      <c r="M16" s="54" t="s">
        <v>684</v>
      </c>
      <c r="N16" s="55"/>
    </row>
    <row r="17" spans="1:14" x14ac:dyDescent="0.2">
      <c r="A17" s="51">
        <v>15</v>
      </c>
      <c r="B17" s="51" t="s">
        <v>685</v>
      </c>
      <c r="C17" s="83"/>
      <c r="J17" s="83"/>
      <c r="K17" s="54" t="s">
        <v>686</v>
      </c>
      <c r="L17" s="55"/>
      <c r="M17" s="54" t="s">
        <v>687</v>
      </c>
      <c r="N17" s="55"/>
    </row>
    <row r="18" spans="1:14" x14ac:dyDescent="0.2">
      <c r="A18" s="51">
        <v>16</v>
      </c>
      <c r="B18" s="51" t="s">
        <v>688</v>
      </c>
      <c r="C18" s="83"/>
      <c r="J18" s="83"/>
    </row>
    <row r="19" spans="1:14" x14ac:dyDescent="0.2">
      <c r="A19" s="51">
        <v>17</v>
      </c>
      <c r="B19" s="51" t="s">
        <v>689</v>
      </c>
      <c r="C19" s="83"/>
      <c r="J19" s="83"/>
    </row>
    <row r="20" spans="1:14" x14ac:dyDescent="0.2">
      <c r="A20" s="51">
        <v>18</v>
      </c>
      <c r="B20" s="51" t="s">
        <v>690</v>
      </c>
      <c r="C20" s="83"/>
      <c r="J20" s="83"/>
    </row>
    <row r="21" spans="1:14" x14ac:dyDescent="0.2">
      <c r="A21" s="51">
        <v>19</v>
      </c>
      <c r="B21" s="51" t="s">
        <v>691</v>
      </c>
      <c r="C21" s="83"/>
      <c r="J21" s="83"/>
    </row>
    <row r="22" spans="1:14" x14ac:dyDescent="0.2">
      <c r="A22" s="51">
        <v>20</v>
      </c>
      <c r="B22" s="51" t="s">
        <v>692</v>
      </c>
      <c r="C22" s="83"/>
      <c r="J22" s="83"/>
    </row>
    <row r="23" spans="1:14" x14ac:dyDescent="0.2">
      <c r="A23" s="51">
        <v>21</v>
      </c>
      <c r="B23" s="51" t="s">
        <v>693</v>
      </c>
      <c r="C23" s="83"/>
      <c r="J23" s="83"/>
    </row>
    <row r="24" spans="1:14" x14ac:dyDescent="0.2">
      <c r="A24" s="51">
        <v>22</v>
      </c>
      <c r="B24" s="51" t="s">
        <v>694</v>
      </c>
      <c r="C24" s="83"/>
      <c r="J24" s="83"/>
    </row>
    <row r="25" spans="1:14" x14ac:dyDescent="0.2">
      <c r="A25" s="51">
        <v>23</v>
      </c>
      <c r="B25" s="51" t="s">
        <v>695</v>
      </c>
      <c r="C25" s="83"/>
      <c r="J25" s="83"/>
    </row>
    <row r="26" spans="1:14" x14ac:dyDescent="0.2">
      <c r="A26" s="51">
        <v>24</v>
      </c>
      <c r="B26" s="51" t="s">
        <v>696</v>
      </c>
      <c r="C26" s="83"/>
      <c r="J26" s="83"/>
    </row>
    <row r="27" spans="1:14" x14ac:dyDescent="0.2">
      <c r="A27" s="51">
        <v>25</v>
      </c>
      <c r="B27" s="51" t="s">
        <v>697</v>
      </c>
      <c r="C27" s="83"/>
      <c r="J27" s="83"/>
    </row>
    <row r="28" spans="1:14" x14ac:dyDescent="0.2">
      <c r="A28" s="51">
        <v>26</v>
      </c>
      <c r="B28" s="51" t="s">
        <v>698</v>
      </c>
      <c r="C28" s="83"/>
      <c r="J28" s="83"/>
    </row>
    <row r="29" spans="1:14" x14ac:dyDescent="0.2">
      <c r="A29" s="51">
        <v>27</v>
      </c>
      <c r="B29" s="51" t="s">
        <v>699</v>
      </c>
      <c r="C29" s="83"/>
      <c r="J29" s="83"/>
    </row>
    <row r="30" spans="1:14" x14ac:dyDescent="0.2">
      <c r="A30" s="51">
        <v>28</v>
      </c>
      <c r="B30" s="51" t="s">
        <v>700</v>
      </c>
      <c r="C30" s="83"/>
      <c r="J30" s="83"/>
    </row>
    <row r="31" spans="1:14" x14ac:dyDescent="0.2">
      <c r="A31" s="51">
        <v>29</v>
      </c>
      <c r="B31" s="51" t="s">
        <v>701</v>
      </c>
      <c r="C31" s="83"/>
      <c r="J31" s="83"/>
    </row>
    <row r="32" spans="1:14" x14ac:dyDescent="0.2">
      <c r="A32" s="51">
        <v>30</v>
      </c>
      <c r="B32" s="51" t="s">
        <v>702</v>
      </c>
      <c r="C32" s="83"/>
      <c r="J32" s="83"/>
    </row>
    <row r="33" spans="1:10" x14ac:dyDescent="0.2">
      <c r="A33" s="51">
        <v>31</v>
      </c>
      <c r="B33" s="51" t="s">
        <v>703</v>
      </c>
      <c r="C33" s="83"/>
      <c r="J33" s="83"/>
    </row>
    <row r="34" spans="1:10" x14ac:dyDescent="0.2">
      <c r="A34" s="51">
        <v>32</v>
      </c>
      <c r="B34" s="51" t="s">
        <v>704</v>
      </c>
      <c r="C34" s="83"/>
      <c r="J34" s="83"/>
    </row>
    <row r="35" spans="1:10" x14ac:dyDescent="0.2">
      <c r="A35" s="51">
        <v>33</v>
      </c>
      <c r="B35" s="51" t="s">
        <v>705</v>
      </c>
      <c r="C35" s="83"/>
      <c r="J35" s="83"/>
    </row>
    <row r="36" spans="1:10" x14ac:dyDescent="0.2">
      <c r="A36" s="51">
        <v>34</v>
      </c>
      <c r="B36" s="51" t="s">
        <v>706</v>
      </c>
      <c r="C36" s="83"/>
      <c r="J36" s="83"/>
    </row>
    <row r="37" spans="1:10" x14ac:dyDescent="0.2">
      <c r="A37" s="51">
        <v>35</v>
      </c>
      <c r="B37" s="51" t="s">
        <v>707</v>
      </c>
      <c r="C37" s="83"/>
      <c r="J37" s="83"/>
    </row>
    <row r="38" spans="1:10" x14ac:dyDescent="0.2">
      <c r="A38" s="51">
        <v>36</v>
      </c>
      <c r="B38" s="51" t="s">
        <v>708</v>
      </c>
      <c r="C38" s="83"/>
      <c r="J38" s="83"/>
    </row>
    <row r="39" spans="1:10" x14ac:dyDescent="0.2">
      <c r="A39" s="51">
        <v>37</v>
      </c>
      <c r="B39" s="51" t="s">
        <v>709</v>
      </c>
      <c r="C39" s="83"/>
      <c r="J39" s="83"/>
    </row>
    <row r="40" spans="1:10" x14ac:dyDescent="0.2">
      <c r="A40" s="51">
        <v>38</v>
      </c>
      <c r="B40" s="51" t="s">
        <v>710</v>
      </c>
      <c r="C40" s="83"/>
      <c r="J40" s="83"/>
    </row>
    <row r="41" spans="1:10" x14ac:dyDescent="0.2">
      <c r="A41" s="51">
        <v>39</v>
      </c>
      <c r="B41" s="51" t="s">
        <v>711</v>
      </c>
      <c r="C41" s="83"/>
      <c r="J41" s="83"/>
    </row>
    <row r="42" spans="1:10" x14ac:dyDescent="0.2">
      <c r="A42" s="51">
        <v>40</v>
      </c>
      <c r="B42" s="51" t="s">
        <v>712</v>
      </c>
      <c r="C42" s="83"/>
      <c r="J42" s="83"/>
    </row>
    <row r="43" spans="1:10" x14ac:dyDescent="0.2">
      <c r="A43" s="51">
        <v>41</v>
      </c>
      <c r="B43" s="51" t="s">
        <v>713</v>
      </c>
      <c r="C43" s="83"/>
      <c r="J43" s="83"/>
    </row>
    <row r="44" spans="1:10" x14ac:dyDescent="0.2">
      <c r="A44" s="51">
        <v>42</v>
      </c>
      <c r="B44" s="51" t="s">
        <v>714</v>
      </c>
      <c r="C44" s="83"/>
      <c r="J44" s="83"/>
    </row>
    <row r="45" spans="1:10" x14ac:dyDescent="0.2">
      <c r="A45" s="51">
        <v>43</v>
      </c>
      <c r="B45" s="51" t="s">
        <v>715</v>
      </c>
      <c r="C45" s="83"/>
      <c r="J45" s="83"/>
    </row>
    <row r="46" spans="1:10" x14ac:dyDescent="0.2">
      <c r="A46" s="51">
        <v>44</v>
      </c>
      <c r="B46" s="51" t="s">
        <v>716</v>
      </c>
      <c r="C46" s="83"/>
      <c r="J46" s="83"/>
    </row>
    <row r="47" spans="1:10" x14ac:dyDescent="0.2">
      <c r="A47" s="51">
        <v>45</v>
      </c>
      <c r="B47" s="51" t="s">
        <v>717</v>
      </c>
      <c r="C47" s="83"/>
      <c r="J47" s="83"/>
    </row>
    <row r="48" spans="1:10" x14ac:dyDescent="0.2">
      <c r="A48" s="51">
        <v>46</v>
      </c>
      <c r="B48" s="51" t="s">
        <v>718</v>
      </c>
      <c r="C48" s="83"/>
      <c r="J48" s="83"/>
    </row>
    <row r="49" spans="1:10" x14ac:dyDescent="0.2">
      <c r="A49" s="51">
        <v>47</v>
      </c>
      <c r="B49" s="51" t="s">
        <v>719</v>
      </c>
      <c r="C49" s="83"/>
      <c r="J49" s="83"/>
    </row>
    <row r="50" spans="1:10" x14ac:dyDescent="0.2">
      <c r="A50" s="51">
        <v>48</v>
      </c>
      <c r="B50" s="51" t="s">
        <v>720</v>
      </c>
      <c r="C50" s="83"/>
      <c r="J50" s="83"/>
    </row>
    <row r="51" spans="1:10" x14ac:dyDescent="0.2">
      <c r="A51" s="51">
        <v>49</v>
      </c>
      <c r="B51" s="51" t="s">
        <v>721</v>
      </c>
      <c r="C51" s="83"/>
      <c r="J51" s="83"/>
    </row>
    <row r="52" spans="1:10" x14ac:dyDescent="0.2">
      <c r="A52" s="51">
        <v>50</v>
      </c>
      <c r="B52" s="51" t="s">
        <v>722</v>
      </c>
      <c r="C52" s="83"/>
      <c r="J52" s="83"/>
    </row>
    <row r="53" spans="1:10" x14ac:dyDescent="0.2">
      <c r="A53" s="51">
        <v>51</v>
      </c>
      <c r="B53" s="51" t="s">
        <v>723</v>
      </c>
      <c r="C53" s="83"/>
      <c r="J53" s="83"/>
    </row>
    <row r="54" spans="1:10" x14ac:dyDescent="0.2">
      <c r="A54" s="51">
        <v>52</v>
      </c>
      <c r="B54" s="51" t="s">
        <v>724</v>
      </c>
      <c r="C54" s="83"/>
      <c r="J54" s="83"/>
    </row>
    <row r="55" spans="1:10" x14ac:dyDescent="0.2">
      <c r="A55" s="51">
        <v>53</v>
      </c>
      <c r="B55" s="51" t="s">
        <v>725</v>
      </c>
      <c r="C55" s="83"/>
      <c r="J55" s="83"/>
    </row>
    <row r="56" spans="1:10" x14ac:dyDescent="0.2">
      <c r="A56" s="51">
        <v>54</v>
      </c>
      <c r="B56" s="51" t="s">
        <v>726</v>
      </c>
      <c r="C56" s="83"/>
      <c r="J56" s="83"/>
    </row>
    <row r="57" spans="1:10" x14ac:dyDescent="0.2">
      <c r="A57" s="51">
        <v>55</v>
      </c>
      <c r="B57" s="51" t="s">
        <v>727</v>
      </c>
      <c r="C57" s="83"/>
      <c r="J57" s="83"/>
    </row>
    <row r="58" spans="1:10" x14ac:dyDescent="0.2">
      <c r="A58" s="51">
        <v>56</v>
      </c>
      <c r="B58" s="51" t="s">
        <v>728</v>
      </c>
      <c r="C58" s="83"/>
      <c r="J58" s="83"/>
    </row>
    <row r="59" spans="1:10" x14ac:dyDescent="0.2">
      <c r="A59" s="51">
        <v>57</v>
      </c>
      <c r="B59" s="51" t="s">
        <v>729</v>
      </c>
      <c r="C59" s="83"/>
      <c r="J59" s="83"/>
    </row>
    <row r="60" spans="1:10" x14ac:dyDescent="0.2">
      <c r="A60" s="51">
        <v>58</v>
      </c>
      <c r="B60" s="51" t="s">
        <v>730</v>
      </c>
      <c r="C60" s="83"/>
      <c r="J60" s="83"/>
    </row>
    <row r="61" spans="1:10" x14ac:dyDescent="0.2">
      <c r="A61" s="51">
        <v>59</v>
      </c>
      <c r="B61" s="51" t="s">
        <v>731</v>
      </c>
      <c r="C61" s="83"/>
      <c r="J61" s="83"/>
    </row>
    <row r="62" spans="1:10" x14ac:dyDescent="0.2">
      <c r="A62" s="51">
        <v>60</v>
      </c>
      <c r="B62" s="51" t="s">
        <v>732</v>
      </c>
      <c r="C62" s="83"/>
      <c r="J62" s="83"/>
    </row>
    <row r="63" spans="1:10" x14ac:dyDescent="0.2">
      <c r="A63" s="51">
        <v>61</v>
      </c>
      <c r="B63" s="51" t="s">
        <v>733</v>
      </c>
      <c r="C63" s="83"/>
      <c r="J63" s="83"/>
    </row>
    <row r="64" spans="1:10" x14ac:dyDescent="0.2">
      <c r="A64" s="51">
        <v>62</v>
      </c>
      <c r="B64" s="51" t="s">
        <v>734</v>
      </c>
      <c r="C64" s="83"/>
      <c r="J64" s="83"/>
    </row>
    <row r="65" spans="1:10" x14ac:dyDescent="0.2">
      <c r="A65" s="51">
        <v>63</v>
      </c>
      <c r="B65" s="51" t="s">
        <v>735</v>
      </c>
      <c r="C65" s="83"/>
      <c r="J65" s="83"/>
    </row>
    <row r="66" spans="1:10" x14ac:dyDescent="0.2">
      <c r="A66" s="51">
        <v>64</v>
      </c>
      <c r="B66" s="51" t="s">
        <v>736</v>
      </c>
      <c r="C66" s="83"/>
      <c r="J66" s="83"/>
    </row>
    <row r="67" spans="1:10" x14ac:dyDescent="0.2">
      <c r="A67" s="51">
        <v>65</v>
      </c>
      <c r="B67" s="51" t="s">
        <v>737</v>
      </c>
      <c r="C67" s="83"/>
      <c r="J67" s="83"/>
    </row>
    <row r="68" spans="1:10" x14ac:dyDescent="0.2">
      <c r="A68" s="51">
        <v>66</v>
      </c>
      <c r="B68" s="51" t="s">
        <v>738</v>
      </c>
      <c r="C68" s="83"/>
      <c r="J68" s="83"/>
    </row>
    <row r="69" spans="1:10" x14ac:dyDescent="0.2">
      <c r="A69" s="51">
        <v>67</v>
      </c>
      <c r="B69" s="51" t="s">
        <v>739</v>
      </c>
      <c r="C69" s="83"/>
      <c r="J69" s="83"/>
    </row>
    <row r="70" spans="1:10" x14ac:dyDescent="0.2">
      <c r="A70" s="51">
        <v>68</v>
      </c>
      <c r="B70" s="51" t="s">
        <v>740</v>
      </c>
      <c r="C70" s="83"/>
      <c r="J70" s="83"/>
    </row>
    <row r="71" spans="1:10" x14ac:dyDescent="0.2">
      <c r="A71" s="51">
        <v>69</v>
      </c>
      <c r="B71" s="51" t="s">
        <v>741</v>
      </c>
      <c r="C71" s="83"/>
      <c r="J71" s="83"/>
    </row>
    <row r="72" spans="1:10" x14ac:dyDescent="0.2">
      <c r="A72" s="51">
        <v>70</v>
      </c>
      <c r="B72" s="51" t="s">
        <v>742</v>
      </c>
      <c r="C72" s="83"/>
      <c r="J72" s="83"/>
    </row>
    <row r="73" spans="1:10" x14ac:dyDescent="0.2">
      <c r="A73" s="51">
        <v>71</v>
      </c>
      <c r="B73" s="51" t="s">
        <v>743</v>
      </c>
      <c r="C73" s="83"/>
      <c r="J73" s="83"/>
    </row>
    <row r="74" spans="1:10" x14ac:dyDescent="0.2">
      <c r="A74" s="51">
        <v>72</v>
      </c>
      <c r="B74" s="51" t="s">
        <v>744</v>
      </c>
      <c r="C74" s="83"/>
      <c r="J74" s="83"/>
    </row>
    <row r="75" spans="1:10" x14ac:dyDescent="0.2">
      <c r="A75" s="51">
        <v>73</v>
      </c>
      <c r="B75" s="51" t="s">
        <v>745</v>
      </c>
      <c r="C75" s="83"/>
      <c r="J75" s="83"/>
    </row>
    <row r="76" spans="1:10" x14ac:dyDescent="0.2">
      <c r="A76" s="51">
        <v>74</v>
      </c>
      <c r="B76" s="51" t="s">
        <v>746</v>
      </c>
      <c r="C76" s="83"/>
      <c r="J76" s="83"/>
    </row>
    <row r="77" spans="1:10" x14ac:dyDescent="0.2">
      <c r="A77" s="51">
        <v>75</v>
      </c>
      <c r="B77" s="51" t="s">
        <v>747</v>
      </c>
      <c r="C77" s="83"/>
      <c r="J77" s="83"/>
    </row>
    <row r="78" spans="1:10" x14ac:dyDescent="0.2">
      <c r="A78" s="51">
        <v>76</v>
      </c>
      <c r="B78" s="51" t="s">
        <v>748</v>
      </c>
      <c r="C78" s="83"/>
      <c r="J78" s="83"/>
    </row>
    <row r="79" spans="1:10" x14ac:dyDescent="0.2">
      <c r="A79" s="51">
        <v>77</v>
      </c>
      <c r="B79" s="51" t="s">
        <v>749</v>
      </c>
      <c r="C79" s="83"/>
      <c r="J79" s="83"/>
    </row>
    <row r="80" spans="1:10" x14ac:dyDescent="0.2">
      <c r="A80" s="51">
        <v>78</v>
      </c>
      <c r="B80" s="51" t="s">
        <v>750</v>
      </c>
      <c r="C80" s="83"/>
      <c r="J80" s="83"/>
    </row>
    <row r="81" spans="1:10" x14ac:dyDescent="0.2">
      <c r="A81" s="51">
        <v>79</v>
      </c>
      <c r="B81" s="51" t="s">
        <v>751</v>
      </c>
      <c r="C81" s="83"/>
      <c r="J81" s="83"/>
    </row>
    <row r="82" spans="1:10" x14ac:dyDescent="0.2">
      <c r="A82" s="51">
        <v>80</v>
      </c>
      <c r="B82" s="51" t="s">
        <v>752</v>
      </c>
      <c r="C82" s="83"/>
      <c r="J82" s="83"/>
    </row>
    <row r="83" spans="1:10" x14ac:dyDescent="0.2">
      <c r="A83" s="51">
        <v>81</v>
      </c>
      <c r="B83" s="51" t="s">
        <v>753</v>
      </c>
      <c r="C83" s="83"/>
      <c r="J83" s="83"/>
    </row>
    <row r="84" spans="1:10" x14ac:dyDescent="0.2">
      <c r="A84" s="51">
        <v>82</v>
      </c>
      <c r="B84" s="51" t="s">
        <v>754</v>
      </c>
      <c r="C84" s="83"/>
      <c r="J84" s="83"/>
    </row>
    <row r="85" spans="1:10" x14ac:dyDescent="0.2">
      <c r="A85" s="51">
        <v>83</v>
      </c>
      <c r="B85" s="51" t="s">
        <v>755</v>
      </c>
      <c r="C85" s="83"/>
      <c r="J85" s="83"/>
    </row>
    <row r="86" spans="1:10" x14ac:dyDescent="0.2">
      <c r="A86" s="51">
        <v>84</v>
      </c>
      <c r="B86" s="51" t="s">
        <v>756</v>
      </c>
      <c r="C86" s="83"/>
      <c r="J86" s="83"/>
    </row>
    <row r="87" spans="1:10" x14ac:dyDescent="0.2">
      <c r="A87" s="51">
        <v>85</v>
      </c>
      <c r="B87" s="51" t="s">
        <v>757</v>
      </c>
      <c r="C87" s="83"/>
      <c r="J87" s="83"/>
    </row>
    <row r="88" spans="1:10" x14ac:dyDescent="0.2">
      <c r="A88" s="51">
        <v>86</v>
      </c>
      <c r="B88" s="51" t="s">
        <v>758</v>
      </c>
      <c r="C88" s="83"/>
      <c r="J88" s="83"/>
    </row>
    <row r="89" spans="1:10" x14ac:dyDescent="0.2">
      <c r="A89" s="51">
        <v>87</v>
      </c>
      <c r="B89" s="51" t="s">
        <v>759</v>
      </c>
      <c r="C89" s="83"/>
      <c r="J89" s="83"/>
    </row>
    <row r="90" spans="1:10" x14ac:dyDescent="0.2">
      <c r="A90" s="51">
        <v>88</v>
      </c>
      <c r="B90" s="51" t="s">
        <v>760</v>
      </c>
      <c r="C90" s="83"/>
      <c r="J90" s="83"/>
    </row>
    <row r="91" spans="1:10" x14ac:dyDescent="0.2">
      <c r="A91" s="51">
        <v>89</v>
      </c>
      <c r="B91" s="51" t="s">
        <v>761</v>
      </c>
      <c r="C91" s="83"/>
      <c r="J91" s="83"/>
    </row>
    <row r="92" spans="1:10" x14ac:dyDescent="0.2">
      <c r="A92" s="51">
        <v>90</v>
      </c>
      <c r="B92" s="51" t="s">
        <v>762</v>
      </c>
      <c r="C92" s="83"/>
      <c r="J92" s="83"/>
    </row>
    <row r="93" spans="1:10" x14ac:dyDescent="0.2">
      <c r="A93" s="51">
        <v>91</v>
      </c>
      <c r="B93" s="51" t="s">
        <v>763</v>
      </c>
      <c r="C93" s="83"/>
      <c r="J93" s="83"/>
    </row>
    <row r="94" spans="1:10" x14ac:dyDescent="0.2">
      <c r="A94" s="51">
        <v>92</v>
      </c>
      <c r="B94" s="51" t="s">
        <v>764</v>
      </c>
      <c r="C94" s="83"/>
      <c r="J94" s="83"/>
    </row>
    <row r="95" spans="1:10" x14ac:dyDescent="0.2">
      <c r="A95" s="51">
        <v>93</v>
      </c>
      <c r="B95" s="51" t="s">
        <v>765</v>
      </c>
      <c r="C95" s="83"/>
      <c r="J95" s="83"/>
    </row>
    <row r="96" spans="1:10" x14ac:dyDescent="0.2">
      <c r="A96" s="51">
        <v>94</v>
      </c>
      <c r="B96" s="51" t="s">
        <v>766</v>
      </c>
      <c r="C96" s="83"/>
      <c r="J96" s="83"/>
    </row>
    <row r="97" spans="1:10" x14ac:dyDescent="0.2">
      <c r="A97" s="51">
        <v>95</v>
      </c>
      <c r="B97" s="51" t="s">
        <v>767</v>
      </c>
      <c r="C97" s="83"/>
      <c r="J97" s="83"/>
    </row>
    <row r="98" spans="1:10" x14ac:dyDescent="0.2">
      <c r="A98" s="51">
        <v>96</v>
      </c>
      <c r="B98" s="51" t="s">
        <v>768</v>
      </c>
      <c r="C98" s="83"/>
      <c r="J98" s="83"/>
    </row>
    <row r="99" spans="1:10" x14ac:dyDescent="0.2">
      <c r="C99" s="83"/>
      <c r="J99" s="83"/>
    </row>
    <row r="100" spans="1:10" x14ac:dyDescent="0.2">
      <c r="C100" s="83"/>
      <c r="J100" s="83"/>
    </row>
    <row r="101" spans="1:10" x14ac:dyDescent="0.2">
      <c r="C101" s="83"/>
      <c r="J101" s="83"/>
    </row>
    <row r="102" spans="1:10" x14ac:dyDescent="0.2">
      <c r="C102" s="83"/>
      <c r="J102" s="83"/>
    </row>
    <row r="103" spans="1:10" x14ac:dyDescent="0.2">
      <c r="C103" s="83"/>
      <c r="J103" s="83"/>
    </row>
    <row r="104" spans="1:10" x14ac:dyDescent="0.2">
      <c r="C104" s="83"/>
      <c r="J104" s="83"/>
    </row>
    <row r="105" spans="1:10" x14ac:dyDescent="0.2">
      <c r="C105" s="83"/>
      <c r="J105" s="83"/>
    </row>
    <row r="106" spans="1:10" x14ac:dyDescent="0.2">
      <c r="C106" s="83"/>
      <c r="J106" s="83"/>
    </row>
    <row r="107" spans="1:10" x14ac:dyDescent="0.2">
      <c r="C107" s="83"/>
      <c r="J107" s="83"/>
    </row>
    <row r="108" spans="1:10" x14ac:dyDescent="0.2">
      <c r="C108" s="83"/>
      <c r="J108" s="83"/>
    </row>
    <row r="109" spans="1:10" x14ac:dyDescent="0.2">
      <c r="C109" s="83"/>
      <c r="J109" s="83"/>
    </row>
    <row r="110" spans="1:10" x14ac:dyDescent="0.2">
      <c r="C110" s="83"/>
      <c r="J110" s="83"/>
    </row>
    <row r="111" spans="1:10" x14ac:dyDescent="0.2">
      <c r="C111" s="83"/>
      <c r="J111" s="83"/>
    </row>
    <row r="112" spans="1:10" x14ac:dyDescent="0.2">
      <c r="C112" s="83"/>
      <c r="J112" s="83"/>
    </row>
    <row r="113" spans="3:10" x14ac:dyDescent="0.2">
      <c r="C113" s="83"/>
      <c r="J113" s="83"/>
    </row>
    <row r="114" spans="3:10" x14ac:dyDescent="0.2">
      <c r="C114" s="83"/>
      <c r="J114" s="83"/>
    </row>
    <row r="115" spans="3:10" x14ac:dyDescent="0.2">
      <c r="C115" s="83"/>
      <c r="J115" s="83"/>
    </row>
    <row r="116" spans="3:10" x14ac:dyDescent="0.2">
      <c r="C116" s="83"/>
      <c r="J116" s="83"/>
    </row>
    <row r="117" spans="3:10" x14ac:dyDescent="0.2">
      <c r="C117" s="83"/>
      <c r="J117" s="83"/>
    </row>
    <row r="118" spans="3:10" x14ac:dyDescent="0.2">
      <c r="C118" s="83"/>
      <c r="J118" s="83"/>
    </row>
    <row r="119" spans="3:10" x14ac:dyDescent="0.2">
      <c r="C119" s="83"/>
      <c r="J119" s="83"/>
    </row>
    <row r="120" spans="3:10" x14ac:dyDescent="0.2">
      <c r="C120" s="83"/>
      <c r="J120" s="83"/>
    </row>
    <row r="121" spans="3:10" x14ac:dyDescent="0.2">
      <c r="C121" s="83"/>
      <c r="J121" s="83"/>
    </row>
    <row r="122" spans="3:10" x14ac:dyDescent="0.2">
      <c r="C122" s="83"/>
      <c r="J122" s="83"/>
    </row>
    <row r="123" spans="3:10" x14ac:dyDescent="0.2">
      <c r="C123" s="83"/>
      <c r="J123" s="83"/>
    </row>
    <row r="124" spans="3:10" x14ac:dyDescent="0.2">
      <c r="C124" s="83"/>
      <c r="J124" s="83"/>
    </row>
    <row r="125" spans="3:10" x14ac:dyDescent="0.2">
      <c r="C125" s="83"/>
      <c r="J125" s="83"/>
    </row>
    <row r="126" spans="3:10" x14ac:dyDescent="0.2">
      <c r="C126" s="83"/>
      <c r="J126" s="83"/>
    </row>
    <row r="127" spans="3:10" x14ac:dyDescent="0.2">
      <c r="C127" s="83"/>
      <c r="J127" s="83"/>
    </row>
    <row r="128" spans="3:10" x14ac:dyDescent="0.2">
      <c r="C128" s="83"/>
      <c r="J128" s="83"/>
    </row>
    <row r="129" spans="3:10" x14ac:dyDescent="0.2">
      <c r="C129" s="83"/>
      <c r="J129" s="83"/>
    </row>
    <row r="130" spans="3:10" x14ac:dyDescent="0.2">
      <c r="C130" s="83"/>
      <c r="J130" s="83"/>
    </row>
    <row r="131" spans="3:10" x14ac:dyDescent="0.2">
      <c r="C131" s="83"/>
      <c r="J131" s="83"/>
    </row>
    <row r="132" spans="3:10" x14ac:dyDescent="0.2">
      <c r="C132" s="83"/>
      <c r="J132" s="83"/>
    </row>
    <row r="133" spans="3:10" x14ac:dyDescent="0.2">
      <c r="C133" s="83"/>
      <c r="J133" s="83"/>
    </row>
    <row r="134" spans="3:10" x14ac:dyDescent="0.2">
      <c r="C134" s="83"/>
      <c r="J134" s="83"/>
    </row>
    <row r="135" spans="3:10" x14ac:dyDescent="0.2">
      <c r="C135" s="83"/>
      <c r="J135" s="83"/>
    </row>
    <row r="136" spans="3:10" x14ac:dyDescent="0.2">
      <c r="C136" s="83"/>
      <c r="J136" s="83"/>
    </row>
    <row r="137" spans="3:10" x14ac:dyDescent="0.2">
      <c r="C137" s="83"/>
      <c r="J137" s="83"/>
    </row>
    <row r="138" spans="3:10" x14ac:dyDescent="0.2">
      <c r="C138" s="83"/>
      <c r="J138" s="83"/>
    </row>
    <row r="139" spans="3:10" x14ac:dyDescent="0.2">
      <c r="C139" s="83"/>
      <c r="J139" s="83"/>
    </row>
    <row r="140" spans="3:10" x14ac:dyDescent="0.2">
      <c r="C140" s="83"/>
      <c r="J140" s="83"/>
    </row>
    <row r="141" spans="3:10" x14ac:dyDescent="0.2">
      <c r="C141" s="83"/>
      <c r="J141" s="83"/>
    </row>
    <row r="142" spans="3:10" x14ac:dyDescent="0.2">
      <c r="C142" s="83"/>
      <c r="J142" s="83"/>
    </row>
    <row r="143" spans="3:10" x14ac:dyDescent="0.2">
      <c r="C143" s="83"/>
      <c r="J143" s="83"/>
    </row>
    <row r="144" spans="3:10" x14ac:dyDescent="0.2">
      <c r="C144" s="83"/>
      <c r="J144" s="83"/>
    </row>
    <row r="145" spans="3:10" x14ac:dyDescent="0.2">
      <c r="C145" s="83"/>
      <c r="J145" s="83"/>
    </row>
    <row r="146" spans="3:10" x14ac:dyDescent="0.2">
      <c r="C146" s="83"/>
      <c r="J146" s="83"/>
    </row>
    <row r="147" spans="3:10" x14ac:dyDescent="0.2">
      <c r="C147" s="83"/>
      <c r="J147" s="83"/>
    </row>
    <row r="148" spans="3:10" x14ac:dyDescent="0.2">
      <c r="C148" s="83"/>
      <c r="J148" s="83"/>
    </row>
    <row r="149" spans="3:10" x14ac:dyDescent="0.2">
      <c r="C149" s="83"/>
      <c r="J149" s="83"/>
    </row>
    <row r="150" spans="3:10" x14ac:dyDescent="0.2">
      <c r="C150" s="83"/>
      <c r="J150" s="83"/>
    </row>
    <row r="151" spans="3:10" x14ac:dyDescent="0.2">
      <c r="C151" s="83"/>
      <c r="J151" s="83"/>
    </row>
    <row r="152" spans="3:10" x14ac:dyDescent="0.2">
      <c r="C152" s="83"/>
      <c r="J152" s="83"/>
    </row>
    <row r="153" spans="3:10" x14ac:dyDescent="0.2">
      <c r="C153" s="83"/>
      <c r="J153" s="83"/>
    </row>
    <row r="154" spans="3:10" x14ac:dyDescent="0.2">
      <c r="C154" s="83"/>
      <c r="J154" s="83"/>
    </row>
    <row r="155" spans="3:10" x14ac:dyDescent="0.2">
      <c r="C155" s="83"/>
      <c r="J155" s="83"/>
    </row>
    <row r="156" spans="3:10" x14ac:dyDescent="0.2">
      <c r="C156" s="83"/>
      <c r="J156" s="83"/>
    </row>
    <row r="157" spans="3:10" x14ac:dyDescent="0.2">
      <c r="C157" s="83"/>
      <c r="J157" s="83"/>
    </row>
    <row r="158" spans="3:10" x14ac:dyDescent="0.2">
      <c r="C158" s="83"/>
      <c r="J158" s="83"/>
    </row>
    <row r="159" spans="3:10" x14ac:dyDescent="0.2">
      <c r="C159" s="83"/>
      <c r="J159" s="83"/>
    </row>
    <row r="160" spans="3:10" x14ac:dyDescent="0.2">
      <c r="C160" s="83"/>
      <c r="J160" s="83"/>
    </row>
    <row r="161" spans="3:10" x14ac:dyDescent="0.2">
      <c r="C161" s="83"/>
      <c r="J161" s="83"/>
    </row>
    <row r="162" spans="3:10" x14ac:dyDescent="0.2">
      <c r="C162" s="83"/>
      <c r="J162" s="83"/>
    </row>
    <row r="163" spans="3:10" x14ac:dyDescent="0.2">
      <c r="C163" s="83"/>
      <c r="J163" s="83"/>
    </row>
    <row r="164" spans="3:10" x14ac:dyDescent="0.2">
      <c r="C164" s="83"/>
      <c r="J164" s="83"/>
    </row>
    <row r="165" spans="3:10" x14ac:dyDescent="0.2">
      <c r="C165" s="83"/>
      <c r="J165" s="83"/>
    </row>
    <row r="166" spans="3:10" x14ac:dyDescent="0.2">
      <c r="C166" s="83"/>
      <c r="J166" s="83"/>
    </row>
    <row r="167" spans="3:10" x14ac:dyDescent="0.2">
      <c r="C167" s="83"/>
      <c r="J167" s="83"/>
    </row>
    <row r="168" spans="3:10" x14ac:dyDescent="0.2">
      <c r="C168" s="83"/>
      <c r="J168" s="83"/>
    </row>
    <row r="169" spans="3:10" x14ac:dyDescent="0.2">
      <c r="C169" s="83"/>
      <c r="J169" s="83"/>
    </row>
    <row r="170" spans="3:10" x14ac:dyDescent="0.2">
      <c r="C170" s="83"/>
      <c r="J170" s="83"/>
    </row>
    <row r="171" spans="3:10" x14ac:dyDescent="0.2">
      <c r="C171" s="83"/>
      <c r="J171" s="83"/>
    </row>
    <row r="172" spans="3:10" x14ac:dyDescent="0.2">
      <c r="C172" s="83"/>
      <c r="J172" s="83"/>
    </row>
    <row r="173" spans="3:10" x14ac:dyDescent="0.2">
      <c r="C173" s="83"/>
      <c r="J173" s="83"/>
    </row>
    <row r="174" spans="3:10" x14ac:dyDescent="0.2">
      <c r="C174" s="83"/>
      <c r="J174" s="83"/>
    </row>
    <row r="175" spans="3:10" x14ac:dyDescent="0.2">
      <c r="C175" s="83"/>
      <c r="J175" s="83"/>
    </row>
    <row r="176" spans="3:10" x14ac:dyDescent="0.2">
      <c r="C176" s="83"/>
      <c r="J176" s="83"/>
    </row>
    <row r="177" spans="3:10" x14ac:dyDescent="0.2">
      <c r="C177" s="83"/>
      <c r="J177" s="83"/>
    </row>
    <row r="178" spans="3:10" x14ac:dyDescent="0.2">
      <c r="C178" s="83"/>
      <c r="J178" s="83"/>
    </row>
    <row r="179" spans="3:10" x14ac:dyDescent="0.2">
      <c r="C179" s="83"/>
      <c r="J179" s="83"/>
    </row>
    <row r="180" spans="3:10" x14ac:dyDescent="0.2">
      <c r="C180" s="83"/>
      <c r="J180" s="83"/>
    </row>
    <row r="181" spans="3:10" x14ac:dyDescent="0.2">
      <c r="C181" s="83"/>
      <c r="J181" s="83"/>
    </row>
    <row r="182" spans="3:10" x14ac:dyDescent="0.2">
      <c r="C182" s="83"/>
      <c r="J182" s="83"/>
    </row>
    <row r="183" spans="3:10" x14ac:dyDescent="0.2">
      <c r="C183" s="83"/>
      <c r="J183" s="83"/>
    </row>
    <row r="184" spans="3:10" x14ac:dyDescent="0.2">
      <c r="C184" s="83"/>
      <c r="J184" s="83"/>
    </row>
    <row r="185" spans="3:10" x14ac:dyDescent="0.2">
      <c r="C185" s="83"/>
      <c r="J185" s="83"/>
    </row>
    <row r="186" spans="3:10" x14ac:dyDescent="0.2">
      <c r="C186" s="83"/>
      <c r="J186" s="83"/>
    </row>
    <row r="187" spans="3:10" x14ac:dyDescent="0.2">
      <c r="C187" s="83"/>
      <c r="J187" s="83"/>
    </row>
    <row r="188" spans="3:10" x14ac:dyDescent="0.2">
      <c r="C188" s="83"/>
      <c r="J188" s="83"/>
    </row>
    <row r="189" spans="3:10" x14ac:dyDescent="0.2">
      <c r="C189" s="83"/>
      <c r="J189" s="83"/>
    </row>
    <row r="190" spans="3:10" x14ac:dyDescent="0.2">
      <c r="C190" s="83"/>
      <c r="J190" s="83"/>
    </row>
    <row r="191" spans="3:10" x14ac:dyDescent="0.2">
      <c r="C191" s="83"/>
      <c r="J191" s="83"/>
    </row>
    <row r="192" spans="3:10" x14ac:dyDescent="0.2">
      <c r="C192" s="83"/>
      <c r="J192" s="83"/>
    </row>
    <row r="193" spans="3:10" x14ac:dyDescent="0.2">
      <c r="C193" s="83"/>
      <c r="J193" s="83"/>
    </row>
    <row r="194" spans="3:10" x14ac:dyDescent="0.2">
      <c r="C194" s="83"/>
      <c r="J194" s="83"/>
    </row>
    <row r="195" spans="3:10" x14ac:dyDescent="0.2">
      <c r="C195" s="83"/>
      <c r="J195" s="83"/>
    </row>
    <row r="196" spans="3:10" x14ac:dyDescent="0.2">
      <c r="C196" s="83"/>
      <c r="J196" s="83"/>
    </row>
    <row r="197" spans="3:10" x14ac:dyDescent="0.2">
      <c r="C197" s="83"/>
      <c r="J197" s="83"/>
    </row>
    <row r="198" spans="3:10" x14ac:dyDescent="0.2">
      <c r="C198" s="83"/>
      <c r="J198" s="83"/>
    </row>
    <row r="199" spans="3:10" x14ac:dyDescent="0.2">
      <c r="C199" s="83"/>
      <c r="J199" s="83"/>
    </row>
    <row r="200" spans="3:10" x14ac:dyDescent="0.2">
      <c r="C200" s="83"/>
      <c r="J200" s="83"/>
    </row>
    <row r="201" spans="3:10" x14ac:dyDescent="0.2">
      <c r="C201" s="83"/>
      <c r="J201" s="83"/>
    </row>
    <row r="202" spans="3:10" x14ac:dyDescent="0.2">
      <c r="C202" s="83"/>
      <c r="J202" s="83"/>
    </row>
    <row r="203" spans="3:10" x14ac:dyDescent="0.2">
      <c r="C203" s="83"/>
      <c r="J203" s="83"/>
    </row>
    <row r="204" spans="3:10" x14ac:dyDescent="0.2">
      <c r="C204" s="83"/>
      <c r="J204" s="83"/>
    </row>
    <row r="205" spans="3:10" x14ac:dyDescent="0.2">
      <c r="C205" s="83"/>
      <c r="J205" s="83"/>
    </row>
    <row r="206" spans="3:10" x14ac:dyDescent="0.2">
      <c r="C206" s="83"/>
      <c r="J206" s="83"/>
    </row>
    <row r="207" spans="3:10" x14ac:dyDescent="0.2">
      <c r="C207" s="83"/>
      <c r="J207" s="83"/>
    </row>
    <row r="208" spans="3:10" x14ac:dyDescent="0.2">
      <c r="C208" s="83"/>
      <c r="J208" s="83"/>
    </row>
    <row r="209" spans="3:10" x14ac:dyDescent="0.2">
      <c r="C209" s="83"/>
      <c r="J209" s="83"/>
    </row>
    <row r="210" spans="3:10" x14ac:dyDescent="0.2">
      <c r="C210" s="83"/>
      <c r="J210" s="83"/>
    </row>
    <row r="211" spans="3:10" x14ac:dyDescent="0.2">
      <c r="C211" s="83"/>
      <c r="J211" s="83"/>
    </row>
    <row r="212" spans="3:10" x14ac:dyDescent="0.2">
      <c r="C212" s="83"/>
      <c r="J212" s="83"/>
    </row>
    <row r="213" spans="3:10" x14ac:dyDescent="0.2">
      <c r="C213" s="83"/>
      <c r="J213" s="83"/>
    </row>
    <row r="214" spans="3:10" x14ac:dyDescent="0.2">
      <c r="C214" s="83"/>
      <c r="J214" s="83"/>
    </row>
    <row r="215" spans="3:10" x14ac:dyDescent="0.2">
      <c r="C215" s="83"/>
    </row>
    <row r="216" spans="3:10" x14ac:dyDescent="0.2">
      <c r="C216" s="83"/>
    </row>
    <row r="217" spans="3:10" x14ac:dyDescent="0.2">
      <c r="C217" s="83"/>
    </row>
    <row r="218" spans="3:10" x14ac:dyDescent="0.2">
      <c r="C218" s="83"/>
    </row>
    <row r="219" spans="3:10" x14ac:dyDescent="0.2">
      <c r="C219" s="83"/>
    </row>
    <row r="220" spans="3:10" x14ac:dyDescent="0.2">
      <c r="C220" s="83"/>
    </row>
    <row r="221" spans="3:10" x14ac:dyDescent="0.2">
      <c r="C221" s="83"/>
    </row>
    <row r="222" spans="3:10" x14ac:dyDescent="0.2">
      <c r="C222" s="83"/>
    </row>
    <row r="223" spans="3:10" x14ac:dyDescent="0.2">
      <c r="C223" s="83"/>
    </row>
    <row r="224" spans="3:10" x14ac:dyDescent="0.2">
      <c r="C224" s="83"/>
    </row>
    <row r="225" spans="3:3" x14ac:dyDescent="0.2">
      <c r="C225" s="83"/>
    </row>
    <row r="226" spans="3:3" x14ac:dyDescent="0.2">
      <c r="C226" s="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topLeftCell="A32" workbookViewId="0">
      <selection activeCell="C50" sqref="C50"/>
    </sheetView>
  </sheetViews>
  <sheetFormatPr baseColWidth="10" defaultColWidth="10.83203125" defaultRowHeight="16" x14ac:dyDescent="0.2"/>
  <cols>
    <col min="1" max="16384" width="10.83203125" style="52"/>
  </cols>
  <sheetData>
    <row r="1" spans="1:6" x14ac:dyDescent="0.2">
      <c r="B1" s="52" t="s">
        <v>769</v>
      </c>
      <c r="C1" s="52" t="s">
        <v>770</v>
      </c>
      <c r="D1" s="52" t="s">
        <v>771</v>
      </c>
      <c r="E1" s="52" t="s">
        <v>772</v>
      </c>
      <c r="F1" s="52" t="s">
        <v>773</v>
      </c>
    </row>
    <row r="2" spans="1:6" x14ac:dyDescent="0.2">
      <c r="A2" s="84">
        <v>1</v>
      </c>
      <c r="B2" s="85">
        <f>Input!C3</f>
        <v>0</v>
      </c>
      <c r="C2" s="85">
        <f>Input!C6</f>
        <v>0</v>
      </c>
      <c r="D2" s="85">
        <f>AVERAGE(B2:B4)</f>
        <v>0</v>
      </c>
      <c r="E2" s="85">
        <f>AVERAGE(C2:C4)</f>
        <v>0</v>
      </c>
      <c r="F2" s="86">
        <f>D2-E2</f>
        <v>0</v>
      </c>
    </row>
    <row r="3" spans="1:6" x14ac:dyDescent="0.2">
      <c r="A3" s="87"/>
      <c r="B3" s="88">
        <f>Input!C4</f>
        <v>0</v>
      </c>
      <c r="C3" s="88">
        <f>Input!C7</f>
        <v>0</v>
      </c>
      <c r="D3" s="89"/>
      <c r="E3" s="89"/>
      <c r="F3" s="90"/>
    </row>
    <row r="4" spans="1:6" x14ac:dyDescent="0.2">
      <c r="A4" s="91"/>
      <c r="B4" s="92">
        <f>Input!C5</f>
        <v>0</v>
      </c>
      <c r="C4" s="92">
        <f>Input!C8</f>
        <v>0</v>
      </c>
      <c r="D4" s="93"/>
      <c r="E4" s="93"/>
      <c r="F4" s="94"/>
    </row>
    <row r="5" spans="1:6" x14ac:dyDescent="0.2">
      <c r="A5" s="95">
        <v>2</v>
      </c>
      <c r="B5" s="96">
        <f>Input!C15</f>
        <v>0</v>
      </c>
      <c r="C5" s="96">
        <f>Input!C18</f>
        <v>0</v>
      </c>
      <c r="D5" s="96">
        <f>AVERAGE(B5:B7)</f>
        <v>0</v>
      </c>
      <c r="E5" s="96">
        <f>AVERAGE(C5:C7)</f>
        <v>0</v>
      </c>
      <c r="F5" s="97">
        <f>D5-E5</f>
        <v>0</v>
      </c>
    </row>
    <row r="6" spans="1:6" x14ac:dyDescent="0.2">
      <c r="A6" s="87"/>
      <c r="B6" s="88">
        <f>Input!C16</f>
        <v>0</v>
      </c>
      <c r="C6" s="88">
        <f>Input!C19</f>
        <v>0</v>
      </c>
      <c r="D6" s="89"/>
      <c r="E6" s="89"/>
      <c r="F6" s="90"/>
    </row>
    <row r="7" spans="1:6" x14ac:dyDescent="0.2">
      <c r="A7" s="91"/>
      <c r="B7" s="92">
        <f>Input!C17</f>
        <v>0</v>
      </c>
      <c r="C7" s="92">
        <f>Input!C20</f>
        <v>0</v>
      </c>
      <c r="D7" s="93"/>
      <c r="E7" s="93"/>
      <c r="F7" s="94"/>
    </row>
    <row r="8" spans="1:6" x14ac:dyDescent="0.2">
      <c r="A8" s="95">
        <v>3</v>
      </c>
      <c r="B8" s="96">
        <f>Input!C27</f>
        <v>0</v>
      </c>
      <c r="C8" s="96">
        <f>Input!C30</f>
        <v>0</v>
      </c>
      <c r="D8" s="96">
        <f>AVERAGE(B8:B10)</f>
        <v>0</v>
      </c>
      <c r="E8" s="96">
        <f>AVERAGE(C8:C10)</f>
        <v>0</v>
      </c>
      <c r="F8" s="97">
        <f>D8-E8</f>
        <v>0</v>
      </c>
    </row>
    <row r="9" spans="1:6" x14ac:dyDescent="0.2">
      <c r="A9" s="87"/>
      <c r="B9" s="88">
        <f>Input!C28</f>
        <v>0</v>
      </c>
      <c r="C9" s="88">
        <f>Input!C31</f>
        <v>0</v>
      </c>
      <c r="D9" s="89"/>
      <c r="E9" s="89"/>
      <c r="F9" s="90"/>
    </row>
    <row r="10" spans="1:6" x14ac:dyDescent="0.2">
      <c r="A10" s="87"/>
      <c r="B10" s="88">
        <f>Input!C29</f>
        <v>0</v>
      </c>
      <c r="C10" s="88">
        <f>Input!C32</f>
        <v>0</v>
      </c>
      <c r="D10" s="89"/>
      <c r="E10" s="89"/>
      <c r="F10" s="90"/>
    </row>
    <row r="11" spans="1:6" x14ac:dyDescent="0.2">
      <c r="A11" s="84">
        <v>4</v>
      </c>
      <c r="B11" s="85">
        <f>Input!C39</f>
        <v>0</v>
      </c>
      <c r="C11" s="85">
        <f>Input!C42</f>
        <v>0</v>
      </c>
      <c r="D11" s="85">
        <f>AVERAGE(B11:B13)</f>
        <v>0</v>
      </c>
      <c r="E11" s="85">
        <f>AVERAGE(C11:C13)</f>
        <v>0</v>
      </c>
      <c r="F11" s="86">
        <f>D11-E11</f>
        <v>0</v>
      </c>
    </row>
    <row r="12" spans="1:6" x14ac:dyDescent="0.2">
      <c r="A12" s="87"/>
      <c r="B12" s="88">
        <f>Input!C40</f>
        <v>0</v>
      </c>
      <c r="C12" s="88">
        <f>Input!C43</f>
        <v>0</v>
      </c>
      <c r="D12" s="89"/>
      <c r="E12" s="89"/>
      <c r="F12" s="90"/>
    </row>
    <row r="13" spans="1:6" x14ac:dyDescent="0.2">
      <c r="A13" s="91"/>
      <c r="B13" s="92">
        <f>Input!C41</f>
        <v>0</v>
      </c>
      <c r="C13" s="92">
        <f>Input!C44</f>
        <v>0</v>
      </c>
      <c r="D13" s="93"/>
      <c r="E13" s="93"/>
      <c r="F13" s="94"/>
    </row>
    <row r="14" spans="1:6" x14ac:dyDescent="0.2">
      <c r="A14" s="95">
        <v>5</v>
      </c>
      <c r="B14" s="96">
        <f>Input!C51</f>
        <v>0</v>
      </c>
      <c r="C14" s="96">
        <f>Input!C54</f>
        <v>0</v>
      </c>
      <c r="D14" s="96">
        <f>AVERAGE(B14:B16)</f>
        <v>0</v>
      </c>
      <c r="E14" s="96">
        <f>AVERAGE(C14:C16)</f>
        <v>0</v>
      </c>
      <c r="F14" s="97">
        <f>D14-E14</f>
        <v>0</v>
      </c>
    </row>
    <row r="15" spans="1:6" x14ac:dyDescent="0.2">
      <c r="A15" s="87"/>
      <c r="B15" s="88">
        <f>Input!C52</f>
        <v>0</v>
      </c>
      <c r="C15" s="88">
        <f>Input!C55</f>
        <v>0</v>
      </c>
      <c r="D15" s="89"/>
      <c r="E15" s="89"/>
      <c r="F15" s="90"/>
    </row>
    <row r="16" spans="1:6" x14ac:dyDescent="0.2">
      <c r="A16" s="91"/>
      <c r="B16" s="92">
        <f>Input!C53</f>
        <v>0</v>
      </c>
      <c r="C16" s="92">
        <f>Input!C56</f>
        <v>0</v>
      </c>
      <c r="D16" s="93"/>
      <c r="E16" s="93"/>
      <c r="F16" s="94"/>
    </row>
    <row r="17" spans="1:6" x14ac:dyDescent="0.2">
      <c r="A17" s="95">
        <v>6</v>
      </c>
      <c r="B17" s="96">
        <f>Input!C63</f>
        <v>0</v>
      </c>
      <c r="C17" s="96">
        <f>Input!C66</f>
        <v>0</v>
      </c>
      <c r="D17" s="96">
        <f>AVERAGE(B17:B19)</f>
        <v>0</v>
      </c>
      <c r="E17" s="96">
        <f>AVERAGE(C17:C19)</f>
        <v>0</v>
      </c>
      <c r="F17" s="97">
        <f>D17-E17</f>
        <v>0</v>
      </c>
    </row>
    <row r="18" spans="1:6" x14ac:dyDescent="0.2">
      <c r="A18" s="87"/>
      <c r="B18" s="88">
        <f>Input!C64</f>
        <v>0</v>
      </c>
      <c r="C18" s="88">
        <f>Input!C67</f>
        <v>0</v>
      </c>
      <c r="D18" s="89"/>
      <c r="E18" s="89"/>
      <c r="F18" s="90"/>
    </row>
    <row r="19" spans="1:6" x14ac:dyDescent="0.2">
      <c r="A19" s="87"/>
      <c r="B19" s="88">
        <f>Input!C65</f>
        <v>0</v>
      </c>
      <c r="C19" s="88">
        <f>Input!C68</f>
        <v>0</v>
      </c>
      <c r="D19" s="89"/>
      <c r="E19" s="89"/>
      <c r="F19" s="90"/>
    </row>
    <row r="20" spans="1:6" x14ac:dyDescent="0.2">
      <c r="A20" s="84">
        <v>7</v>
      </c>
      <c r="B20" s="85">
        <f>Input!C75</f>
        <v>0</v>
      </c>
      <c r="C20" s="85">
        <f>Input!C78</f>
        <v>0</v>
      </c>
      <c r="D20" s="85">
        <f>AVERAGE(B20:B22)</f>
        <v>0</v>
      </c>
      <c r="E20" s="85">
        <f>AVERAGE(C20:C22)</f>
        <v>0</v>
      </c>
      <c r="F20" s="86">
        <f>D20-E20</f>
        <v>0</v>
      </c>
    </row>
    <row r="21" spans="1:6" x14ac:dyDescent="0.2">
      <c r="A21" s="87"/>
      <c r="B21" s="88">
        <f>Input!C76</f>
        <v>0</v>
      </c>
      <c r="C21" s="88">
        <f>Input!C79</f>
        <v>0</v>
      </c>
      <c r="D21" s="89"/>
      <c r="E21" s="89"/>
      <c r="F21" s="90"/>
    </row>
    <row r="22" spans="1:6" x14ac:dyDescent="0.2">
      <c r="A22" s="91"/>
      <c r="B22" s="92">
        <f>Input!C77</f>
        <v>0</v>
      </c>
      <c r="C22" s="92">
        <f>Input!C80</f>
        <v>0</v>
      </c>
      <c r="D22" s="93"/>
      <c r="E22" s="93"/>
      <c r="F22" s="94"/>
    </row>
    <row r="23" spans="1:6" x14ac:dyDescent="0.2">
      <c r="A23" s="95">
        <v>8</v>
      </c>
      <c r="B23" s="96">
        <f>Input!C87</f>
        <v>0</v>
      </c>
      <c r="C23" s="96">
        <f>Input!C90</f>
        <v>0</v>
      </c>
      <c r="D23" s="96">
        <f>AVERAGE(B23:B25)</f>
        <v>0</v>
      </c>
      <c r="E23" s="96">
        <f>AVERAGE(C23:C25)</f>
        <v>0</v>
      </c>
      <c r="F23" s="97">
        <f>D23-E23</f>
        <v>0</v>
      </c>
    </row>
    <row r="24" spans="1:6" x14ac:dyDescent="0.2">
      <c r="A24" s="87"/>
      <c r="B24" s="88">
        <f>Input!C88</f>
        <v>0</v>
      </c>
      <c r="C24" s="88">
        <f>Input!C91</f>
        <v>0</v>
      </c>
      <c r="D24" s="89"/>
      <c r="E24" s="89"/>
      <c r="F24" s="90"/>
    </row>
    <row r="25" spans="1:6" x14ac:dyDescent="0.2">
      <c r="A25" s="91"/>
      <c r="B25" s="92">
        <f>Input!C89</f>
        <v>0</v>
      </c>
      <c r="C25" s="92">
        <f>Input!C92</f>
        <v>0</v>
      </c>
      <c r="D25" s="93"/>
      <c r="E25" s="93"/>
      <c r="F25" s="94"/>
    </row>
    <row r="26" spans="1:6" x14ac:dyDescent="0.2">
      <c r="A26" s="95">
        <v>9</v>
      </c>
      <c r="B26" s="96">
        <f>Input!C9</f>
        <v>0</v>
      </c>
      <c r="C26" s="96">
        <f>Input!C12</f>
        <v>0</v>
      </c>
      <c r="D26" s="96">
        <f>AVERAGE(B26:B28)</f>
        <v>0</v>
      </c>
      <c r="E26" s="96">
        <f>AVERAGE(C26:C28)</f>
        <v>0</v>
      </c>
      <c r="F26" s="97">
        <f>D26-E26</f>
        <v>0</v>
      </c>
    </row>
    <row r="27" spans="1:6" x14ac:dyDescent="0.2">
      <c r="A27" s="87"/>
      <c r="B27" s="88">
        <f>Input!C10</f>
        <v>0</v>
      </c>
      <c r="C27" s="88">
        <f>Input!C13</f>
        <v>0</v>
      </c>
      <c r="D27" s="89"/>
      <c r="E27" s="89"/>
      <c r="F27" s="90"/>
    </row>
    <row r="28" spans="1:6" x14ac:dyDescent="0.2">
      <c r="A28" s="87"/>
      <c r="B28" s="88">
        <f>Input!C11</f>
        <v>0</v>
      </c>
      <c r="C28" s="88">
        <f>Input!C14</f>
        <v>0</v>
      </c>
      <c r="D28" s="89"/>
      <c r="E28" s="89"/>
      <c r="F28" s="90"/>
    </row>
    <row r="29" spans="1:6" x14ac:dyDescent="0.2">
      <c r="A29" s="84">
        <v>10</v>
      </c>
      <c r="B29" s="85">
        <f>Input!C21</f>
        <v>0</v>
      </c>
      <c r="C29" s="85">
        <f>Input!C24</f>
        <v>0</v>
      </c>
      <c r="D29" s="85">
        <f>AVERAGE(B29:B31)</f>
        <v>0</v>
      </c>
      <c r="E29" s="85">
        <f>AVERAGE(C29:C31)</f>
        <v>0</v>
      </c>
      <c r="F29" s="86">
        <f>D29-E29</f>
        <v>0</v>
      </c>
    </row>
    <row r="30" spans="1:6" x14ac:dyDescent="0.2">
      <c r="A30" s="87"/>
      <c r="B30" s="88">
        <f>Input!C22</f>
        <v>0</v>
      </c>
      <c r="C30" s="88">
        <f>Input!C25</f>
        <v>0</v>
      </c>
      <c r="D30" s="89"/>
      <c r="E30" s="89"/>
      <c r="F30" s="90"/>
    </row>
    <row r="31" spans="1:6" x14ac:dyDescent="0.2">
      <c r="A31" s="91"/>
      <c r="B31" s="92">
        <f>Input!C23</f>
        <v>0</v>
      </c>
      <c r="C31" s="92">
        <f>Input!C26</f>
        <v>0</v>
      </c>
      <c r="D31" s="93"/>
      <c r="E31" s="93"/>
      <c r="F31" s="94"/>
    </row>
    <row r="32" spans="1:6" x14ac:dyDescent="0.2">
      <c r="A32" s="95">
        <v>11</v>
      </c>
      <c r="B32" s="96">
        <f>Input!C33</f>
        <v>0</v>
      </c>
      <c r="C32" s="96">
        <f>Input!C36</f>
        <v>0</v>
      </c>
      <c r="D32" s="96">
        <f>AVERAGE(B32:B34)</f>
        <v>0</v>
      </c>
      <c r="E32" s="96">
        <f>AVERAGE(C32:C34)</f>
        <v>0</v>
      </c>
      <c r="F32" s="97">
        <f>D32-E32</f>
        <v>0</v>
      </c>
    </row>
    <row r="33" spans="1:6" x14ac:dyDescent="0.2">
      <c r="A33" s="87"/>
      <c r="B33" s="88">
        <f>Input!C34</f>
        <v>0</v>
      </c>
      <c r="C33" s="88">
        <f>Input!C37</f>
        <v>0</v>
      </c>
      <c r="D33" s="89"/>
      <c r="E33" s="89"/>
      <c r="F33" s="90"/>
    </row>
    <row r="34" spans="1:6" x14ac:dyDescent="0.2">
      <c r="A34" s="91"/>
      <c r="B34" s="92">
        <f>Input!C35</f>
        <v>0</v>
      </c>
      <c r="C34" s="92">
        <f>Input!C38</f>
        <v>0</v>
      </c>
      <c r="D34" s="93"/>
      <c r="E34" s="93"/>
      <c r="F34" s="94"/>
    </row>
    <row r="35" spans="1:6" x14ac:dyDescent="0.2">
      <c r="A35" s="95">
        <v>12</v>
      </c>
      <c r="B35" s="96">
        <f>Input!C45</f>
        <v>0</v>
      </c>
      <c r="C35" s="96">
        <f>Input!C48</f>
        <v>0</v>
      </c>
      <c r="D35" s="96">
        <f>AVERAGE(B35:B37)</f>
        <v>0</v>
      </c>
      <c r="E35" s="96">
        <f>AVERAGE(C35:C37)</f>
        <v>0</v>
      </c>
      <c r="F35" s="97">
        <f>D35-E35</f>
        <v>0</v>
      </c>
    </row>
    <row r="36" spans="1:6" x14ac:dyDescent="0.2">
      <c r="A36" s="87"/>
      <c r="B36" s="88">
        <f>Input!C46</f>
        <v>0</v>
      </c>
      <c r="C36" s="88">
        <f>Input!C49</f>
        <v>0</v>
      </c>
      <c r="D36" s="89"/>
      <c r="E36" s="89"/>
      <c r="F36" s="90"/>
    </row>
    <row r="37" spans="1:6" x14ac:dyDescent="0.2">
      <c r="A37" s="87"/>
      <c r="B37" s="88">
        <f>Input!C47</f>
        <v>0</v>
      </c>
      <c r="C37" s="88">
        <f>Input!C50</f>
        <v>0</v>
      </c>
      <c r="D37" s="89"/>
      <c r="E37" s="89"/>
      <c r="F37" s="90"/>
    </row>
    <row r="38" spans="1:6" x14ac:dyDescent="0.2">
      <c r="A38" s="84">
        <v>13</v>
      </c>
      <c r="B38" s="85">
        <f>Input!C57</f>
        <v>0</v>
      </c>
      <c r="C38" s="85">
        <f>Input!C60</f>
        <v>0</v>
      </c>
      <c r="D38" s="85">
        <f>AVERAGE(B38:B40)</f>
        <v>0</v>
      </c>
      <c r="E38" s="85">
        <f>AVERAGE(C38:C40)</f>
        <v>0</v>
      </c>
      <c r="F38" s="86">
        <f>D38-E38</f>
        <v>0</v>
      </c>
    </row>
    <row r="39" spans="1:6" x14ac:dyDescent="0.2">
      <c r="A39" s="87"/>
      <c r="B39" s="88">
        <f>Input!C58</f>
        <v>0</v>
      </c>
      <c r="C39" s="88">
        <f>Input!C61</f>
        <v>0</v>
      </c>
      <c r="D39" s="89"/>
      <c r="E39" s="89"/>
      <c r="F39" s="90"/>
    </row>
    <row r="40" spans="1:6" x14ac:dyDescent="0.2">
      <c r="A40" s="91"/>
      <c r="B40" s="92">
        <f>Input!C59</f>
        <v>0</v>
      </c>
      <c r="C40" s="92">
        <f>Input!C62</f>
        <v>0</v>
      </c>
      <c r="D40" s="93"/>
      <c r="E40" s="93"/>
      <c r="F40" s="94"/>
    </row>
    <row r="41" spans="1:6" x14ac:dyDescent="0.2">
      <c r="A41" s="95">
        <v>14</v>
      </c>
      <c r="B41" s="96">
        <f>Input!C69</f>
        <v>0</v>
      </c>
      <c r="C41" s="96">
        <f>Input!C72</f>
        <v>0</v>
      </c>
      <c r="D41" s="96">
        <f>AVERAGE(B41:B43)</f>
        <v>0</v>
      </c>
      <c r="E41" s="96">
        <f>AVERAGE(C41:C43)</f>
        <v>0</v>
      </c>
      <c r="F41" s="97">
        <f>D41-E41</f>
        <v>0</v>
      </c>
    </row>
    <row r="42" spans="1:6" x14ac:dyDescent="0.2">
      <c r="A42" s="87"/>
      <c r="B42" s="88">
        <f>Input!C70</f>
        <v>0</v>
      </c>
      <c r="C42" s="88">
        <f>Input!C73</f>
        <v>0</v>
      </c>
      <c r="D42" s="89"/>
      <c r="E42" s="89"/>
      <c r="F42" s="90"/>
    </row>
    <row r="43" spans="1:6" x14ac:dyDescent="0.2">
      <c r="A43" s="91"/>
      <c r="B43" s="92">
        <f>Input!C71</f>
        <v>0</v>
      </c>
      <c r="C43" s="92">
        <f>Input!C74</f>
        <v>0</v>
      </c>
      <c r="D43" s="93"/>
      <c r="E43" s="93"/>
      <c r="F43" s="94"/>
    </row>
    <row r="44" spans="1:6" x14ac:dyDescent="0.2">
      <c r="A44" s="95">
        <v>15</v>
      </c>
      <c r="B44" s="96">
        <f>Input!C81</f>
        <v>0</v>
      </c>
      <c r="C44" s="96">
        <f>Input!C84</f>
        <v>0</v>
      </c>
      <c r="D44" s="96">
        <f>AVERAGE(B44:B46)</f>
        <v>0</v>
      </c>
      <c r="E44" s="96">
        <f>AVERAGE(C44:C46)</f>
        <v>0</v>
      </c>
      <c r="F44" s="97">
        <f>D44-E44</f>
        <v>0</v>
      </c>
    </row>
    <row r="45" spans="1:6" x14ac:dyDescent="0.2">
      <c r="A45" s="87"/>
      <c r="B45" s="88">
        <f>Input!C82</f>
        <v>0</v>
      </c>
      <c r="C45" s="88">
        <f>Input!C85</f>
        <v>0</v>
      </c>
      <c r="D45" s="89"/>
      <c r="E45" s="89"/>
      <c r="F45" s="90"/>
    </row>
    <row r="46" spans="1:6" x14ac:dyDescent="0.2">
      <c r="A46" s="98"/>
      <c r="B46" s="99">
        <f>Input!C83</f>
        <v>0</v>
      </c>
      <c r="C46" s="99">
        <f>Input!C86</f>
        <v>0</v>
      </c>
      <c r="D46" s="100"/>
      <c r="E46" s="100"/>
      <c r="F46" s="101"/>
    </row>
    <row r="47" spans="1:6" x14ac:dyDescent="0.2">
      <c r="A47" s="102">
        <v>16</v>
      </c>
      <c r="B47" s="96">
        <f>Input!C93</f>
        <v>0</v>
      </c>
      <c r="C47" s="96">
        <f>Input!C96</f>
        <v>0</v>
      </c>
      <c r="D47" s="96">
        <f>AVERAGE(B47:B49)</f>
        <v>0</v>
      </c>
      <c r="E47" s="96">
        <f>AVERAGE(C47:C49)</f>
        <v>0</v>
      </c>
      <c r="F47" s="97">
        <f>D47-E47</f>
        <v>0</v>
      </c>
    </row>
    <row r="48" spans="1:6" x14ac:dyDescent="0.2">
      <c r="A48" s="103"/>
      <c r="B48" s="88">
        <f>Input!C94</f>
        <v>0</v>
      </c>
      <c r="C48" s="88">
        <f>Input!C97</f>
        <v>0</v>
      </c>
      <c r="D48" s="89"/>
      <c r="E48" s="89"/>
      <c r="F48" s="90"/>
    </row>
    <row r="49" spans="1:6" x14ac:dyDescent="0.2">
      <c r="A49" s="104"/>
      <c r="B49" s="99">
        <f>Input!C95</f>
        <v>0</v>
      </c>
      <c r="C49" s="99">
        <f>Input!C98</f>
        <v>0</v>
      </c>
      <c r="D49" s="100"/>
      <c r="E49" s="100"/>
      <c r="F49" s="1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47"/>
  <sheetViews>
    <sheetView workbookViewId="0">
      <selection activeCell="C11" sqref="C11"/>
    </sheetView>
  </sheetViews>
  <sheetFormatPr baseColWidth="10" defaultColWidth="8.6640625" defaultRowHeight="16" x14ac:dyDescent="0.2"/>
  <cols>
    <col min="1" max="1" width="12.6640625" customWidth="1"/>
    <col min="2" max="2" width="44.1640625" style="2" customWidth="1"/>
    <col min="3" max="3" width="18.5" bestFit="1" customWidth="1"/>
    <col min="6" max="6" width="4.6640625" customWidth="1"/>
    <col min="7" max="7" width="38.1640625" customWidth="1"/>
    <col min="8" max="8" width="34.6640625" customWidth="1"/>
    <col min="9" max="9" width="22.6640625" customWidth="1"/>
    <col min="11" max="11" width="13.33203125" customWidth="1"/>
    <col min="12" max="12" width="17.33203125" bestFit="1" customWidth="1"/>
  </cols>
  <sheetData>
    <row r="1" spans="2:8" ht="17" x14ac:dyDescent="0.2">
      <c r="B1" s="13" t="s">
        <v>774</v>
      </c>
      <c r="C1" s="12" t="s">
        <v>775</v>
      </c>
    </row>
    <row r="2" spans="2:8" ht="17" x14ac:dyDescent="0.2">
      <c r="B2" s="17" t="s">
        <v>776</v>
      </c>
      <c r="C2" s="56">
        <v>13</v>
      </c>
    </row>
    <row r="3" spans="2:8" ht="17" x14ac:dyDescent="0.2">
      <c r="B3" s="14" t="s">
        <v>777</v>
      </c>
      <c r="C3" s="57" t="s">
        <v>778</v>
      </c>
    </row>
    <row r="4" spans="2:8" x14ac:dyDescent="0.2">
      <c r="B4" s="14"/>
      <c r="C4" s="57"/>
    </row>
    <row r="5" spans="2:8" ht="17" x14ac:dyDescent="0.2">
      <c r="B5" s="14" t="s">
        <v>779</v>
      </c>
      <c r="C5" s="57">
        <v>4</v>
      </c>
    </row>
    <row r="6" spans="2:8" x14ac:dyDescent="0.2">
      <c r="B6" s="14"/>
      <c r="C6" s="57"/>
    </row>
    <row r="7" spans="2:8" ht="17" x14ac:dyDescent="0.2">
      <c r="B7" s="14" t="s">
        <v>780</v>
      </c>
      <c r="C7" s="57">
        <v>14</v>
      </c>
    </row>
    <row r="8" spans="2:8" ht="34" x14ac:dyDescent="0.2">
      <c r="B8" s="14" t="s">
        <v>781</v>
      </c>
      <c r="C8" s="57">
        <v>83</v>
      </c>
    </row>
    <row r="9" spans="2:8" ht="18" thickBot="1" x14ac:dyDescent="0.25">
      <c r="B9" s="15" t="s">
        <v>782</v>
      </c>
      <c r="C9" s="58" t="s">
        <v>783</v>
      </c>
    </row>
    <row r="11" spans="2:8" ht="26" customHeight="1" x14ac:dyDescent="0.2">
      <c r="B11" s="13" t="s">
        <v>784</v>
      </c>
      <c r="C11" s="12" t="s">
        <v>775</v>
      </c>
      <c r="G11" s="60" t="s">
        <v>785</v>
      </c>
      <c r="H11" s="12" t="s">
        <v>775</v>
      </c>
    </row>
    <row r="12" spans="2:8" ht="17" x14ac:dyDescent="0.2">
      <c r="B12" s="14" t="s">
        <v>786</v>
      </c>
      <c r="C12" s="57">
        <v>25</v>
      </c>
      <c r="G12" s="61" t="s">
        <v>787</v>
      </c>
      <c r="H12" s="62" t="e">
        <f>250*C9</f>
        <v>#VALUE!</v>
      </c>
    </row>
    <row r="13" spans="2:8" ht="17" x14ac:dyDescent="0.2">
      <c r="B13" s="14" t="s">
        <v>788</v>
      </c>
      <c r="C13" s="57" t="s">
        <v>789</v>
      </c>
      <c r="G13" s="61" t="s">
        <v>788</v>
      </c>
      <c r="H13" s="62" t="s">
        <v>789</v>
      </c>
    </row>
    <row r="14" spans="2:8" ht="17" x14ac:dyDescent="0.2">
      <c r="B14" s="14" t="s">
        <v>790</v>
      </c>
      <c r="C14" s="59" t="s">
        <v>791</v>
      </c>
      <c r="G14" s="61" t="s">
        <v>790</v>
      </c>
      <c r="H14" s="62" t="s">
        <v>791</v>
      </c>
    </row>
    <row r="15" spans="2:8" x14ac:dyDescent="0.2">
      <c r="B15" s="14"/>
      <c r="C15" s="57"/>
      <c r="G15" s="61"/>
      <c r="H15" s="62"/>
    </row>
    <row r="16" spans="2:8" ht="17" x14ac:dyDescent="0.2">
      <c r="B16" s="14" t="s">
        <v>792</v>
      </c>
      <c r="C16" s="59">
        <v>25</v>
      </c>
      <c r="G16" s="61" t="s">
        <v>793</v>
      </c>
      <c r="H16" s="62">
        <v>25</v>
      </c>
    </row>
    <row r="17" spans="2:13" ht="17" x14ac:dyDescent="0.2">
      <c r="B17" s="14" t="s">
        <v>794</v>
      </c>
      <c r="C17" s="59" t="s">
        <v>795</v>
      </c>
      <c r="G17" s="61" t="s">
        <v>794</v>
      </c>
      <c r="H17" s="62" t="s">
        <v>796</v>
      </c>
    </row>
    <row r="18" spans="2:13" ht="17" x14ac:dyDescent="0.2">
      <c r="B18" s="14" t="s">
        <v>797</v>
      </c>
      <c r="C18" s="57">
        <v>13</v>
      </c>
      <c r="G18" s="61" t="s">
        <v>798</v>
      </c>
      <c r="H18" s="62">
        <v>24</v>
      </c>
    </row>
    <row r="19" spans="2:13" ht="17" x14ac:dyDescent="0.2">
      <c r="B19" s="14" t="s">
        <v>799</v>
      </c>
      <c r="C19" s="57" t="s">
        <v>791</v>
      </c>
      <c r="G19" s="63"/>
      <c r="H19" s="64"/>
    </row>
    <row r="20" spans="2:13" ht="17" x14ac:dyDescent="0.2">
      <c r="B20" s="15"/>
      <c r="C20" s="10"/>
      <c r="G20" s="61" t="s">
        <v>800</v>
      </c>
      <c r="H20" s="62" t="s">
        <v>801</v>
      </c>
    </row>
    <row r="21" spans="2:13" ht="17" x14ac:dyDescent="0.2">
      <c r="G21" s="61" t="s">
        <v>802</v>
      </c>
      <c r="H21" s="62" t="s">
        <v>803</v>
      </c>
    </row>
    <row r="22" spans="2:13" ht="17" x14ac:dyDescent="0.2">
      <c r="G22" s="61" t="s">
        <v>804</v>
      </c>
      <c r="H22" s="62">
        <v>24</v>
      </c>
    </row>
    <row r="23" spans="2:13" ht="17" x14ac:dyDescent="0.2">
      <c r="G23" s="65" t="s">
        <v>805</v>
      </c>
      <c r="H23" s="66">
        <v>2</v>
      </c>
    </row>
    <row r="26" spans="2:13" ht="19" x14ac:dyDescent="0.25">
      <c r="G26" s="11"/>
      <c r="H26" s="25" t="s">
        <v>806</v>
      </c>
      <c r="I26" s="25"/>
      <c r="J26" s="36" t="s">
        <v>807</v>
      </c>
      <c r="K26" s="4"/>
      <c r="L26" s="4"/>
      <c r="M26" s="26"/>
    </row>
    <row r="27" spans="2:13" x14ac:dyDescent="0.2">
      <c r="G27" s="6"/>
      <c r="H27" s="24"/>
      <c r="M27" s="7"/>
    </row>
    <row r="28" spans="2:13" ht="51" x14ac:dyDescent="0.2">
      <c r="G28" s="27"/>
      <c r="H28" s="28" t="s">
        <v>808</v>
      </c>
      <c r="I28" s="28" t="s">
        <v>809</v>
      </c>
      <c r="J28" s="28"/>
      <c r="K28" s="67" t="s">
        <v>810</v>
      </c>
      <c r="L28" s="28" t="s">
        <v>811</v>
      </c>
      <c r="M28" s="29"/>
    </row>
    <row r="29" spans="2:13" x14ac:dyDescent="0.2">
      <c r="G29" s="6"/>
      <c r="H29" s="34">
        <v>0.1</v>
      </c>
      <c r="I29" s="35">
        <v>25</v>
      </c>
      <c r="J29" s="35"/>
      <c r="K29" s="35">
        <v>62</v>
      </c>
      <c r="L29" s="35">
        <v>1000</v>
      </c>
      <c r="M29" s="7"/>
    </row>
    <row r="30" spans="2:13" ht="48" customHeight="1" x14ac:dyDescent="0.2">
      <c r="G30" s="6"/>
      <c r="H30" s="24"/>
      <c r="M30" s="7"/>
    </row>
    <row r="31" spans="2:13" x14ac:dyDescent="0.2">
      <c r="G31" s="6"/>
      <c r="H31" s="24" t="s">
        <v>812</v>
      </c>
      <c r="I31">
        <f>H29/I29</f>
        <v>4.0000000000000001E-3</v>
      </c>
      <c r="K31" s="24" t="s">
        <v>813</v>
      </c>
      <c r="L31">
        <f>K29/L29</f>
        <v>6.2E-2</v>
      </c>
      <c r="M31" s="7"/>
    </row>
    <row r="32" spans="2:13" x14ac:dyDescent="0.2">
      <c r="G32" s="6"/>
      <c r="H32" s="24"/>
      <c r="M32" s="7"/>
    </row>
    <row r="33" spans="7:13" x14ac:dyDescent="0.2">
      <c r="G33" s="6"/>
      <c r="H33" s="24"/>
      <c r="M33" s="7"/>
    </row>
    <row r="34" spans="7:13" x14ac:dyDescent="0.2">
      <c r="G34" s="30" t="s">
        <v>814</v>
      </c>
      <c r="H34" s="24" t="s">
        <v>815</v>
      </c>
      <c r="I34">
        <f>(L31/I31)/H23</f>
        <v>7.75</v>
      </c>
      <c r="M34" s="7"/>
    </row>
    <row r="35" spans="7:13" x14ac:dyDescent="0.2">
      <c r="G35" s="6"/>
      <c r="H35" s="24"/>
      <c r="M35" s="7"/>
    </row>
    <row r="36" spans="7:13" x14ac:dyDescent="0.2">
      <c r="G36" s="30" t="s">
        <v>816</v>
      </c>
      <c r="H36" s="24" t="s">
        <v>817</v>
      </c>
      <c r="I36">
        <f>(L29/2)/I29</f>
        <v>20</v>
      </c>
      <c r="M36" s="7"/>
    </row>
    <row r="37" spans="7:13" x14ac:dyDescent="0.2">
      <c r="G37" s="6"/>
      <c r="H37" s="24"/>
      <c r="M37" s="7"/>
    </row>
    <row r="38" spans="7:13" x14ac:dyDescent="0.2">
      <c r="G38" s="6"/>
      <c r="H38" s="24" t="s">
        <v>818</v>
      </c>
      <c r="I38">
        <f>I34*I36</f>
        <v>155</v>
      </c>
      <c r="M38" s="7"/>
    </row>
    <row r="39" spans="7:13" x14ac:dyDescent="0.2">
      <c r="G39" s="6"/>
      <c r="H39" s="24" t="s">
        <v>819</v>
      </c>
      <c r="I39">
        <f>LOG(I38,2)</f>
        <v>7.2761244052742384</v>
      </c>
      <c r="M39" s="7"/>
    </row>
    <row r="40" spans="7:13" x14ac:dyDescent="0.2">
      <c r="G40" s="6"/>
      <c r="H40" s="24"/>
      <c r="M40" s="7"/>
    </row>
    <row r="41" spans="7:13" x14ac:dyDescent="0.2">
      <c r="G41" s="6"/>
      <c r="H41" s="28" t="s">
        <v>820</v>
      </c>
      <c r="I41" s="35">
        <v>23</v>
      </c>
      <c r="M41" s="7"/>
    </row>
    <row r="42" spans="7:13" x14ac:dyDescent="0.2">
      <c r="G42" s="6"/>
      <c r="H42" s="24"/>
      <c r="M42" s="7"/>
    </row>
    <row r="43" spans="7:13" x14ac:dyDescent="0.2">
      <c r="G43" s="6"/>
      <c r="H43" s="31" t="s">
        <v>821</v>
      </c>
      <c r="I43">
        <f>I41-I39</f>
        <v>15.723875594725762</v>
      </c>
      <c r="M43" s="7"/>
    </row>
    <row r="44" spans="7:13" x14ac:dyDescent="0.2">
      <c r="G44" s="9"/>
      <c r="H44" s="32"/>
      <c r="I44" s="33"/>
      <c r="J44" s="33"/>
      <c r="K44" s="33"/>
      <c r="L44" s="33"/>
      <c r="M44" s="10"/>
    </row>
    <row r="47" spans="7:13" x14ac:dyDescent="0.2">
      <c r="H47" s="24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40"/>
  <sheetViews>
    <sheetView topLeftCell="A4" workbookViewId="0">
      <selection activeCell="I33" sqref="I33"/>
    </sheetView>
  </sheetViews>
  <sheetFormatPr baseColWidth="10" defaultColWidth="8.6640625" defaultRowHeight="15" x14ac:dyDescent="0.2"/>
  <cols>
    <col min="3" max="3" width="19.6640625" customWidth="1"/>
    <col min="4" max="4" width="36.6640625" customWidth="1"/>
    <col min="5" max="5" width="10" customWidth="1"/>
    <col min="8" max="8" width="21" customWidth="1"/>
    <col min="9" max="9" width="42.6640625" customWidth="1"/>
  </cols>
  <sheetData>
    <row r="1" spans="3:10" ht="16" thickBot="1" x14ac:dyDescent="0.25"/>
    <row r="2" spans="3:10" x14ac:dyDescent="0.2">
      <c r="C2" s="3" t="s">
        <v>822</v>
      </c>
      <c r="D2" s="4"/>
      <c r="E2" s="12" t="s">
        <v>775</v>
      </c>
      <c r="H2" s="3" t="s">
        <v>823</v>
      </c>
      <c r="I2" s="4"/>
      <c r="J2" s="5" t="s">
        <v>824</v>
      </c>
    </row>
    <row r="3" spans="3:10" ht="30.5" customHeight="1" x14ac:dyDescent="0.2">
      <c r="C3" s="6"/>
      <c r="D3" s="2" t="s">
        <v>825</v>
      </c>
      <c r="E3" s="68" t="s">
        <v>826</v>
      </c>
      <c r="H3" s="6"/>
      <c r="I3" s="2" t="s">
        <v>825</v>
      </c>
      <c r="J3" s="68" t="s">
        <v>826</v>
      </c>
    </row>
    <row r="4" spans="3:10" ht="34" x14ac:dyDescent="0.2">
      <c r="C4" s="6"/>
      <c r="D4" s="2" t="s">
        <v>827</v>
      </c>
      <c r="E4" s="68" t="s">
        <v>828</v>
      </c>
      <c r="H4" s="6"/>
      <c r="I4" s="2" t="s">
        <v>827</v>
      </c>
      <c r="J4" s="68" t="s">
        <v>829</v>
      </c>
    </row>
    <row r="5" spans="3:10" ht="17" x14ac:dyDescent="0.2">
      <c r="C5" s="6"/>
      <c r="D5" s="2" t="s">
        <v>830</v>
      </c>
      <c r="E5" s="68">
        <v>125</v>
      </c>
      <c r="H5" s="6"/>
      <c r="I5" s="2" t="s">
        <v>830</v>
      </c>
      <c r="J5" s="68">
        <v>20</v>
      </c>
    </row>
    <row r="6" spans="3:10" ht="34" x14ac:dyDescent="0.2">
      <c r="C6" s="6"/>
      <c r="D6" s="2" t="s">
        <v>831</v>
      </c>
      <c r="E6" s="68">
        <v>3.5</v>
      </c>
      <c r="H6" s="6"/>
      <c r="I6" s="2" t="s">
        <v>831</v>
      </c>
      <c r="J6" s="68">
        <v>5</v>
      </c>
    </row>
    <row r="7" spans="3:10" ht="34" x14ac:dyDescent="0.2">
      <c r="C7" s="8" t="s">
        <v>832</v>
      </c>
      <c r="D7" s="2" t="s">
        <v>833</v>
      </c>
      <c r="E7" s="69">
        <f>E5*E6</f>
        <v>437.5</v>
      </c>
      <c r="H7" s="8" t="s">
        <v>832</v>
      </c>
      <c r="I7" s="2" t="s">
        <v>833</v>
      </c>
      <c r="J7" s="69">
        <f>J6*J5</f>
        <v>100</v>
      </c>
    </row>
    <row r="8" spans="3:10" ht="34" x14ac:dyDescent="0.2">
      <c r="C8" s="6"/>
      <c r="D8" s="2" t="s">
        <v>834</v>
      </c>
      <c r="E8" s="68" t="s">
        <v>835</v>
      </c>
      <c r="H8" s="6"/>
      <c r="I8" s="2" t="s">
        <v>834</v>
      </c>
      <c r="J8" s="68" t="s">
        <v>836</v>
      </c>
    </row>
    <row r="9" spans="3:10" ht="16" x14ac:dyDescent="0.2">
      <c r="C9" s="6"/>
      <c r="D9" s="2"/>
      <c r="E9" s="68"/>
      <c r="H9" s="6"/>
      <c r="I9" s="2"/>
      <c r="J9" s="68"/>
    </row>
    <row r="10" spans="3:10" ht="17" thickBot="1" x14ac:dyDescent="0.25">
      <c r="C10" s="6"/>
      <c r="D10" s="2"/>
      <c r="E10" s="68"/>
      <c r="H10" s="6"/>
      <c r="I10" s="2"/>
      <c r="J10" s="68"/>
    </row>
    <row r="11" spans="3:10" ht="17" x14ac:dyDescent="0.2">
      <c r="C11" s="3" t="s">
        <v>832</v>
      </c>
      <c r="D11" s="107" t="s">
        <v>837</v>
      </c>
      <c r="E11" s="108">
        <f>E7/4</f>
        <v>109.375</v>
      </c>
      <c r="H11" s="3" t="s">
        <v>832</v>
      </c>
      <c r="I11" s="107" t="s">
        <v>838</v>
      </c>
      <c r="J11" s="108">
        <f>J7/5</f>
        <v>20</v>
      </c>
    </row>
    <row r="12" spans="3:10" ht="17" x14ac:dyDescent="0.2">
      <c r="C12" s="6"/>
      <c r="D12" s="2" t="s">
        <v>839</v>
      </c>
      <c r="E12" s="105">
        <v>2</v>
      </c>
      <c r="H12" s="6"/>
      <c r="I12" s="2" t="s">
        <v>840</v>
      </c>
      <c r="J12" s="105">
        <v>2</v>
      </c>
    </row>
    <row r="13" spans="3:10" ht="17" x14ac:dyDescent="0.2">
      <c r="C13" s="8" t="s">
        <v>832</v>
      </c>
      <c r="D13" s="2" t="s">
        <v>841</v>
      </c>
      <c r="E13" s="68">
        <f>E12*E11-E12</f>
        <v>216.75</v>
      </c>
      <c r="H13" s="8" t="s">
        <v>832</v>
      </c>
      <c r="I13" s="2" t="s">
        <v>841</v>
      </c>
      <c r="J13" s="68">
        <f>J12*J11-J12</f>
        <v>38</v>
      </c>
    </row>
    <row r="14" spans="3:10" ht="18" thickBot="1" x14ac:dyDescent="0.25">
      <c r="C14" s="109" t="s">
        <v>832</v>
      </c>
      <c r="D14" s="110" t="s">
        <v>842</v>
      </c>
      <c r="E14" s="111">
        <f>E12*E11</f>
        <v>218.75</v>
      </c>
      <c r="H14" s="109" t="s">
        <v>832</v>
      </c>
      <c r="I14" s="110" t="s">
        <v>842</v>
      </c>
      <c r="J14" s="111">
        <f>J12*J11</f>
        <v>40</v>
      </c>
    </row>
    <row r="15" spans="3:10" x14ac:dyDescent="0.2">
      <c r="C15" s="6"/>
      <c r="E15" s="68"/>
      <c r="H15" s="6"/>
      <c r="J15" s="68"/>
    </row>
    <row r="16" spans="3:10" ht="18" thickBot="1" x14ac:dyDescent="0.25">
      <c r="C16" s="9"/>
      <c r="D16" s="16" t="s">
        <v>843</v>
      </c>
      <c r="E16" s="70">
        <f>F36</f>
        <v>15</v>
      </c>
      <c r="H16" s="9"/>
      <c r="I16" s="16" t="s">
        <v>843</v>
      </c>
      <c r="J16" s="70">
        <f>F37</f>
        <v>0</v>
      </c>
    </row>
    <row r="19" spans="3:10" x14ac:dyDescent="0.2">
      <c r="C19" s="18" t="s">
        <v>844</v>
      </c>
      <c r="D19" s="19"/>
      <c r="E19" s="12" t="s">
        <v>775</v>
      </c>
    </row>
    <row r="20" spans="3:10" ht="17" x14ac:dyDescent="0.2">
      <c r="C20" s="19"/>
      <c r="D20" s="20" t="s">
        <v>825</v>
      </c>
      <c r="E20" s="71" t="s">
        <v>826</v>
      </c>
    </row>
    <row r="21" spans="3:10" ht="34" x14ac:dyDescent="0.2">
      <c r="C21" s="19"/>
      <c r="D21" s="2" t="s">
        <v>827</v>
      </c>
      <c r="E21" s="71" t="s">
        <v>845</v>
      </c>
      <c r="H21" t="s">
        <v>846</v>
      </c>
    </row>
    <row r="22" spans="3:10" ht="17" x14ac:dyDescent="0.2">
      <c r="C22" s="19"/>
      <c r="D22" s="20" t="s">
        <v>830</v>
      </c>
      <c r="E22" s="71">
        <v>200</v>
      </c>
      <c r="H22" t="s">
        <v>847</v>
      </c>
      <c r="J22" s="187">
        <v>0.25</v>
      </c>
    </row>
    <row r="23" spans="3:10" ht="34" x14ac:dyDescent="0.2">
      <c r="C23" s="19"/>
      <c r="D23" s="20" t="s">
        <v>831</v>
      </c>
      <c r="E23" s="71">
        <v>2.5</v>
      </c>
      <c r="H23" t="s">
        <v>848</v>
      </c>
      <c r="J23" s="187">
        <v>0.75</v>
      </c>
    </row>
    <row r="24" spans="3:10" ht="34" x14ac:dyDescent="0.2">
      <c r="C24" s="18" t="s">
        <v>832</v>
      </c>
      <c r="D24" s="20" t="s">
        <v>833</v>
      </c>
      <c r="E24" s="72">
        <f>E23*E22</f>
        <v>500</v>
      </c>
    </row>
    <row r="25" spans="3:10" ht="34" x14ac:dyDescent="0.2">
      <c r="C25" s="19"/>
      <c r="D25" s="20" t="s">
        <v>834</v>
      </c>
      <c r="E25" s="71" t="s">
        <v>849</v>
      </c>
    </row>
    <row r="26" spans="3:10" ht="16" x14ac:dyDescent="0.2">
      <c r="C26" s="19"/>
      <c r="D26" s="20"/>
      <c r="E26" s="71"/>
    </row>
    <row r="27" spans="3:10" ht="17" thickBot="1" x14ac:dyDescent="0.25">
      <c r="C27" s="112"/>
      <c r="D27" s="113"/>
      <c r="E27" s="114"/>
    </row>
    <row r="28" spans="3:10" ht="17" x14ac:dyDescent="0.2">
      <c r="C28" s="117" t="s">
        <v>832</v>
      </c>
      <c r="D28" s="107" t="s">
        <v>837</v>
      </c>
      <c r="E28" s="118">
        <f>E24/4</f>
        <v>125</v>
      </c>
    </row>
    <row r="29" spans="3:10" ht="17" x14ac:dyDescent="0.2">
      <c r="C29" s="119"/>
      <c r="D29" s="20" t="s">
        <v>839</v>
      </c>
      <c r="E29" s="120">
        <v>2</v>
      </c>
    </row>
    <row r="30" spans="3:10" ht="17" x14ac:dyDescent="0.2">
      <c r="C30" s="121" t="s">
        <v>832</v>
      </c>
      <c r="D30" s="20" t="s">
        <v>841</v>
      </c>
      <c r="E30" s="122">
        <f>E29*E28-E29</f>
        <v>248</v>
      </c>
    </row>
    <row r="31" spans="3:10" ht="18" thickBot="1" x14ac:dyDescent="0.25">
      <c r="C31" s="123" t="s">
        <v>832</v>
      </c>
      <c r="D31" s="124" t="s">
        <v>842</v>
      </c>
      <c r="E31" s="125">
        <f>E29*E28</f>
        <v>250</v>
      </c>
    </row>
    <row r="32" spans="3:10" x14ac:dyDescent="0.2">
      <c r="C32" s="115"/>
      <c r="D32" s="115"/>
      <c r="E32" s="116"/>
    </row>
    <row r="33" spans="3:7" ht="17" x14ac:dyDescent="0.2">
      <c r="C33" s="19"/>
      <c r="D33" s="21" t="s">
        <v>843</v>
      </c>
      <c r="E33" s="71">
        <f>F38</f>
        <v>45</v>
      </c>
    </row>
    <row r="34" spans="3:7" ht="16" thickBot="1" x14ac:dyDescent="0.25"/>
    <row r="35" spans="3:7" ht="16" thickBot="1" x14ac:dyDescent="0.25">
      <c r="D35" s="11"/>
      <c r="E35" s="4" t="s">
        <v>850</v>
      </c>
      <c r="F35" s="4" t="s">
        <v>851</v>
      </c>
      <c r="G35" s="26"/>
    </row>
    <row r="36" spans="3:7" ht="16" thickBot="1" x14ac:dyDescent="0.25">
      <c r="D36" s="6" t="s">
        <v>852</v>
      </c>
      <c r="E36">
        <v>25</v>
      </c>
      <c r="F36">
        <f>0.01*E36*E40</f>
        <v>15</v>
      </c>
      <c r="G36" s="106" t="s">
        <v>832</v>
      </c>
    </row>
    <row r="37" spans="3:7" ht="16" thickBot="1" x14ac:dyDescent="0.25">
      <c r="D37" s="6" t="s">
        <v>853</v>
      </c>
      <c r="E37">
        <v>0</v>
      </c>
      <c r="F37">
        <f>0.01*E37*E40</f>
        <v>0</v>
      </c>
      <c r="G37" s="106" t="s">
        <v>832</v>
      </c>
    </row>
    <row r="38" spans="3:7" x14ac:dyDescent="0.2">
      <c r="D38" s="6" t="s">
        <v>854</v>
      </c>
      <c r="E38">
        <v>75</v>
      </c>
      <c r="F38">
        <f>0.01*E38*E40</f>
        <v>45</v>
      </c>
      <c r="G38" s="106" t="s">
        <v>832</v>
      </c>
    </row>
    <row r="39" spans="3:7" ht="16" thickBot="1" x14ac:dyDescent="0.25">
      <c r="D39" s="6"/>
      <c r="G39" s="7"/>
    </row>
    <row r="40" spans="3:7" ht="16" thickBot="1" x14ac:dyDescent="0.25">
      <c r="D40" s="22" t="s">
        <v>855</v>
      </c>
      <c r="E40" s="23">
        <v>60</v>
      </c>
      <c r="F40" s="33"/>
      <c r="G40" s="10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"/>
  <sheetViews>
    <sheetView workbookViewId="0">
      <selection activeCell="F11" sqref="F11"/>
    </sheetView>
  </sheetViews>
  <sheetFormatPr baseColWidth="10" defaultColWidth="11.1640625" defaultRowHeight="15" x14ac:dyDescent="0.2"/>
  <cols>
    <col min="2" max="2" width="19.5" customWidth="1"/>
    <col min="3" max="3" width="14" customWidth="1"/>
    <col min="4" max="4" width="9.5" customWidth="1"/>
    <col min="5" max="5" width="25.5" customWidth="1"/>
    <col min="6" max="6" width="17.5" customWidth="1"/>
    <col min="7" max="7" width="10.5" customWidth="1"/>
    <col min="8" max="8" width="7.33203125" customWidth="1"/>
    <col min="9" max="9" width="16.6640625" customWidth="1"/>
    <col min="10" max="10" width="11.6640625" customWidth="1"/>
    <col min="15" max="15" width="17.1640625" customWidth="1"/>
  </cols>
  <sheetData>
    <row r="1" spans="1:15" x14ac:dyDescent="0.2">
      <c r="A1" t="s">
        <v>856</v>
      </c>
    </row>
    <row r="3" spans="1:15" ht="16" x14ac:dyDescent="0.2">
      <c r="A3" s="39"/>
      <c r="B3" s="40" t="s">
        <v>857</v>
      </c>
      <c r="J3" s="39" t="s">
        <v>858</v>
      </c>
    </row>
    <row r="4" spans="1:15" ht="16" x14ac:dyDescent="0.2">
      <c r="A4" s="39"/>
      <c r="B4" s="46"/>
      <c r="C4" s="47" t="s">
        <v>859</v>
      </c>
      <c r="D4" s="46"/>
      <c r="E4" s="49" t="s">
        <v>860</v>
      </c>
      <c r="F4" s="42" t="s">
        <v>861</v>
      </c>
      <c r="G4" s="19" t="s">
        <v>862</v>
      </c>
      <c r="H4" s="19" t="s">
        <v>863</v>
      </c>
      <c r="I4" s="19" t="s">
        <v>864</v>
      </c>
      <c r="J4" s="19">
        <v>6</v>
      </c>
      <c r="K4" s="19" t="s">
        <v>865</v>
      </c>
      <c r="L4" s="41" t="s">
        <v>866</v>
      </c>
      <c r="M4" s="19">
        <v>1</v>
      </c>
      <c r="N4" s="19"/>
      <c r="O4" s="42" t="s">
        <v>867</v>
      </c>
    </row>
    <row r="5" spans="1:15" ht="16" x14ac:dyDescent="0.2">
      <c r="A5" s="39"/>
      <c r="B5" s="46">
        <v>1</v>
      </c>
      <c r="C5" s="48">
        <v>34</v>
      </c>
      <c r="D5" s="46"/>
      <c r="E5" s="50">
        <f>10/C5*10</f>
        <v>2.9411764705882355</v>
      </c>
      <c r="F5" s="19">
        <v>20</v>
      </c>
      <c r="G5" s="43">
        <f>F5/$J$4</f>
        <v>3.3333333333333335</v>
      </c>
      <c r="H5" s="43">
        <f>G5/E5</f>
        <v>1.1333333333333333</v>
      </c>
      <c r="I5" s="44">
        <f>$M$4*H5</f>
        <v>1.1333333333333333</v>
      </c>
      <c r="J5" s="19"/>
      <c r="K5" s="19"/>
      <c r="L5" s="19"/>
      <c r="M5" s="19"/>
      <c r="N5" s="19"/>
      <c r="O5" s="43">
        <f>F5/SUM(F$5:F$10)*100</f>
        <v>16.666666666666664</v>
      </c>
    </row>
    <row r="6" spans="1:15" ht="16" x14ac:dyDescent="0.2">
      <c r="A6" s="39"/>
      <c r="B6" s="46">
        <v>2</v>
      </c>
      <c r="C6" s="48">
        <v>100</v>
      </c>
      <c r="D6" s="46"/>
      <c r="E6" s="50">
        <f t="shared" ref="E6:E10" si="0">10/C6*10</f>
        <v>1</v>
      </c>
      <c r="F6" s="19">
        <v>20</v>
      </c>
      <c r="G6" s="43">
        <f t="shared" ref="G6:G8" si="1">F6/$J$4</f>
        <v>3.3333333333333335</v>
      </c>
      <c r="H6" s="43">
        <f t="shared" ref="H6:H8" si="2">G6/E6</f>
        <v>3.3333333333333335</v>
      </c>
      <c r="I6" s="44">
        <f t="shared" ref="I6:I8" si="3">$M$4*H6</f>
        <v>3.3333333333333335</v>
      </c>
      <c r="J6" s="19"/>
      <c r="K6" s="19"/>
      <c r="L6" s="19"/>
      <c r="M6" s="19"/>
      <c r="N6" s="19"/>
      <c r="O6" s="43">
        <f>F6/SUM(F$5:F10)*100</f>
        <v>16.666666666666664</v>
      </c>
    </row>
    <row r="7" spans="1:15" ht="16" x14ac:dyDescent="0.2">
      <c r="A7" s="39"/>
      <c r="B7" s="46">
        <v>3</v>
      </c>
      <c r="C7" s="48">
        <v>71.534768639653052</v>
      </c>
      <c r="D7" s="46"/>
      <c r="E7" s="50">
        <f t="shared" si="0"/>
        <v>1.3979216247100315</v>
      </c>
      <c r="F7" s="19">
        <v>20</v>
      </c>
      <c r="G7" s="43">
        <f t="shared" si="1"/>
        <v>3.3333333333333335</v>
      </c>
      <c r="H7" s="43">
        <f t="shared" si="2"/>
        <v>2.3844922879884352</v>
      </c>
      <c r="I7" s="44">
        <f t="shared" si="3"/>
        <v>2.3844922879884352</v>
      </c>
      <c r="J7" s="19"/>
      <c r="K7" s="19"/>
      <c r="L7" s="19"/>
      <c r="M7" s="19"/>
      <c r="N7" s="19"/>
      <c r="O7" s="43">
        <f>F7/SUM(F$5:F$10)*100</f>
        <v>16.666666666666664</v>
      </c>
    </row>
    <row r="8" spans="1:15" ht="16" x14ac:dyDescent="0.2">
      <c r="A8" s="39"/>
      <c r="B8" s="46">
        <v>4</v>
      </c>
      <c r="C8" s="48">
        <v>34</v>
      </c>
      <c r="D8" s="46"/>
      <c r="E8" s="50">
        <f t="shared" si="0"/>
        <v>2.9411764705882355</v>
      </c>
      <c r="F8" s="19">
        <v>20</v>
      </c>
      <c r="G8" s="43">
        <f t="shared" si="1"/>
        <v>3.3333333333333335</v>
      </c>
      <c r="H8" s="43">
        <f t="shared" si="2"/>
        <v>1.1333333333333333</v>
      </c>
      <c r="I8" s="44">
        <f t="shared" si="3"/>
        <v>1.1333333333333333</v>
      </c>
      <c r="J8" s="19"/>
      <c r="K8" s="19"/>
      <c r="L8" s="19"/>
      <c r="M8" s="19"/>
      <c r="N8" s="19"/>
      <c r="O8" s="43">
        <f>F8/SUM(F$5:F$10)*100</f>
        <v>16.666666666666664</v>
      </c>
    </row>
    <row r="9" spans="1:15" ht="16" x14ac:dyDescent="0.2">
      <c r="A9" s="39"/>
      <c r="B9" s="46">
        <v>5</v>
      </c>
      <c r="C9" s="48">
        <v>52.767384319826498</v>
      </c>
      <c r="D9" s="46"/>
      <c r="E9" s="50">
        <f>10/C9*10</f>
        <v>1.8951100436188686</v>
      </c>
      <c r="F9" s="19">
        <v>20</v>
      </c>
      <c r="G9" s="43">
        <f>F9/$J$4</f>
        <v>3.3333333333333335</v>
      </c>
      <c r="H9" s="43">
        <f>G9/E9</f>
        <v>1.7589128106608833</v>
      </c>
      <c r="I9" s="44">
        <f>$M$4*H9</f>
        <v>1.7589128106608833</v>
      </c>
      <c r="J9" s="19"/>
      <c r="K9" s="19"/>
      <c r="L9" s="19"/>
      <c r="M9" s="19"/>
      <c r="N9" s="19"/>
      <c r="O9" s="43">
        <f>F9/SUM(F$5:F$10)*100</f>
        <v>16.666666666666664</v>
      </c>
    </row>
    <row r="10" spans="1:15" ht="16" x14ac:dyDescent="0.2">
      <c r="B10" s="46">
        <v>6</v>
      </c>
      <c r="C10" s="48">
        <v>49.9208611837918</v>
      </c>
      <c r="D10" s="46"/>
      <c r="E10" s="50">
        <f t="shared" si="0"/>
        <v>2.0031705709529666</v>
      </c>
      <c r="F10" s="19">
        <v>20</v>
      </c>
      <c r="G10" s="43">
        <f t="shared" ref="G10" si="4">F10/$J$4</f>
        <v>3.3333333333333335</v>
      </c>
      <c r="H10" s="43">
        <f t="shared" ref="H10" si="5">G10/E10</f>
        <v>1.6640287061263932</v>
      </c>
      <c r="I10" s="44">
        <f t="shared" ref="I10" si="6">$M$4*H10</f>
        <v>1.6640287061263932</v>
      </c>
      <c r="J10" s="19"/>
      <c r="K10" s="19"/>
      <c r="L10" s="19"/>
      <c r="M10" s="19"/>
      <c r="N10" s="19"/>
      <c r="O10" s="43">
        <f>F10/SUM(F$5:F$10)*100</f>
        <v>16.666666666666664</v>
      </c>
    </row>
    <row r="11" spans="1:15" ht="16" x14ac:dyDescent="0.2">
      <c r="C11" s="38"/>
      <c r="E11" s="38"/>
      <c r="G11" s="38"/>
      <c r="H11" s="38"/>
      <c r="I11" s="45"/>
      <c r="O11" s="38"/>
    </row>
    <row r="12" spans="1:15" x14ac:dyDescent="0.2">
      <c r="H12" t="s">
        <v>868</v>
      </c>
      <c r="I12" s="38">
        <f>SUM(I5:I10)</f>
        <v>11.40743380477571</v>
      </c>
    </row>
    <row r="15" spans="1:15" x14ac:dyDescent="0.2">
      <c r="N15" t="s">
        <v>869</v>
      </c>
      <c r="O15" s="38">
        <f>SUM(O5:O10)</f>
        <v>99.999999999999972</v>
      </c>
    </row>
    <row r="19" spans="8:8" x14ac:dyDescent="0.2">
      <c r="H19" t="s">
        <v>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9.1640625" customWidth="1"/>
    <col min="2" max="2" width="39.33203125" customWidth="1"/>
    <col min="3" max="3" width="21" customWidth="1"/>
    <col min="4" max="4" width="24.33203125" customWidth="1"/>
    <col min="5" max="5" width="15.5" customWidth="1"/>
    <col min="6" max="6" width="13.6640625" customWidth="1"/>
    <col min="7" max="7" width="73.5" customWidth="1"/>
  </cols>
  <sheetData>
    <row r="1" spans="1:7" x14ac:dyDescent="0.2">
      <c r="B1" s="126" t="s">
        <v>870</v>
      </c>
    </row>
    <row r="2" spans="1:7" x14ac:dyDescent="0.2">
      <c r="B2" s="126" t="s">
        <v>871</v>
      </c>
    </row>
    <row r="3" spans="1:7" s="1" customFormat="1" x14ac:dyDescent="0.2">
      <c r="A3" s="1" t="s">
        <v>872</v>
      </c>
      <c r="B3" s="1" t="s">
        <v>873</v>
      </c>
      <c r="C3" s="1" t="s">
        <v>874</v>
      </c>
      <c r="D3" s="1" t="s">
        <v>875</v>
      </c>
      <c r="E3" s="1" t="s">
        <v>876</v>
      </c>
      <c r="F3" s="1" t="s">
        <v>877</v>
      </c>
      <c r="G3" s="1" t="s">
        <v>878</v>
      </c>
    </row>
    <row r="4" spans="1:7" x14ac:dyDescent="0.2">
      <c r="A4" t="s">
        <v>879</v>
      </c>
      <c r="B4" t="s">
        <v>880</v>
      </c>
      <c r="C4" t="s">
        <v>881</v>
      </c>
      <c r="D4" t="s">
        <v>882</v>
      </c>
    </row>
    <row r="5" spans="1:7" x14ac:dyDescent="0.2">
      <c r="D5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information</vt:lpstr>
      <vt:lpstr>PCR2 primers</vt:lpstr>
      <vt:lpstr>Input</vt:lpstr>
      <vt:lpstr>QC result</vt:lpstr>
      <vt:lpstr>processing information</vt:lpstr>
      <vt:lpstr>Bioanalyzer&amp;Q-PCR</vt:lpstr>
      <vt:lpstr>Summary_libquantification</vt:lpstr>
      <vt:lpstr>NGS submission</vt:lpstr>
    </vt:vector>
  </TitlesOfParts>
  <Manager/>
  <Company>Cold Spring Harbor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Ching</dc:creator>
  <cp:keywords/>
  <dc:description/>
  <cp:lastModifiedBy>John R. Hover</cp:lastModifiedBy>
  <cp:revision/>
  <dcterms:created xsi:type="dcterms:W3CDTF">2019-06-24T18:42:44Z</dcterms:created>
  <dcterms:modified xsi:type="dcterms:W3CDTF">2025-06-07T16:04:18Z</dcterms:modified>
  <cp:category/>
  <cp:contentStatus/>
</cp:coreProperties>
</file>